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valtapropertyvaluations.sharepoint.com/sites/V/Shared Documents/1.Ops/1. Operations-Tech-Equipment/Valta OS - APR/"/>
    </mc:Choice>
  </mc:AlternateContent>
  <xr:revisionPtr revIDLastSave="0" documentId="8_{39F38553-1306-4D5D-BDA7-B378FF07E8BE}" xr6:coauthVersionLast="47" xr6:coauthVersionMax="47" xr10:uidLastSave="{00000000-0000-0000-0000-000000000000}"/>
  <bookViews>
    <workbookView xWindow="-28920" yWindow="-15" windowWidth="29040" windowHeight="15720" firstSheet="1" activeTab="4" xr2:uid="{F2A4E405-18D0-4FDB-98F9-E3F1741E262D}"/>
  </bookViews>
  <sheets>
    <sheet name="Field Registry" sheetId="1" r:id="rId1"/>
    <sheet name="Dropdown Lists" sheetId="5" r:id="rId2"/>
    <sheet name="Rules Matrix" sheetId="3" r:id="rId3"/>
    <sheet name="Text Library" sheetId="8" r:id="rId4"/>
    <sheet name="Types" sheetId="9" r:id="rId5"/>
    <sheet name="Valcre Fields" sheetId="10" r:id="rId6"/>
  </sheets>
  <definedNames>
    <definedName name="ListAssignmentType">'Dropdown Lists'!$N$2:$N$3</definedName>
    <definedName name="ListAuthorizedUse">'Dropdown Lists'!$F$2:$F$9</definedName>
    <definedName name="ListDataControlType">'Dropdown Lists'!$V$2:$V$11</definedName>
    <definedName name="ListInterestAppraised">'Dropdown Lists'!$E$2:$E$5</definedName>
    <definedName name="ListOutputType">'Dropdown Lists'!$T$2:$T$10</definedName>
    <definedName name="ListPropertySubtype">'Dropdown Lists'!$C$2:$C$4</definedName>
    <definedName name="ListPropertyType">'Dropdown Lists'!$B$2:$B$10</definedName>
    <definedName name="ListStateofImprovements">'Dropdown Lists'!$H$2:$H$3</definedName>
    <definedName name="ListValuationScenario">'Dropdown Lists'!$J$2:$J$4</definedName>
    <definedName name="ListYesNo">'Dropdown Lists'!$W$2:$W$3</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3" l="1"/>
  <c r="E2" i="3"/>
  <c r="D2" i="3"/>
  <c r="D3" i="3" s="1"/>
  <c r="L34" i="3"/>
  <c r="I34" i="3"/>
  <c r="I33" i="3"/>
  <c r="L32" i="3"/>
  <c r="L33" i="3" s="1"/>
  <c r="I16" i="3"/>
  <c r="G16" i="3"/>
  <c r="L40" i="3"/>
  <c r="K40" i="3"/>
  <c r="C39" i="3"/>
  <c r="C40" i="3" s="1"/>
  <c r="I40" i="3"/>
  <c r="G40" i="3"/>
  <c r="I39" i="3"/>
  <c r="I27" i="3"/>
  <c r="I28" i="3" s="1"/>
  <c r="L22" i="3"/>
  <c r="I21" i="3"/>
  <c r="I25" i="3"/>
  <c r="I26" i="3" s="1"/>
  <c r="I23" i="3"/>
  <c r="I24" i="3" s="1"/>
  <c r="I22" i="3"/>
  <c r="I19" i="3"/>
  <c r="I20" i="3" s="1"/>
  <c r="L18" i="3"/>
  <c r="I18" i="3"/>
  <c r="G30" i="3"/>
  <c r="G31" i="3" s="1"/>
  <c r="G32" i="3" s="1"/>
  <c r="G33" i="3" s="1"/>
  <c r="G34" i="3" s="1"/>
  <c r="I30" i="3"/>
  <c r="K30" i="3"/>
  <c r="K31" i="3" s="1"/>
  <c r="K32" i="3" s="1"/>
  <c r="K33" i="3" s="1"/>
  <c r="K34" i="3" s="1"/>
  <c r="I17" i="3"/>
  <c r="G17" i="3"/>
  <c r="I8" i="3"/>
  <c r="I9" i="3"/>
  <c r="L7" i="3"/>
  <c r="L6" i="3"/>
  <c r="I7" i="3"/>
  <c r="I6" i="3"/>
  <c r="L5" i="3"/>
  <c r="I5" i="3"/>
  <c r="L4" i="3"/>
  <c r="I4" i="3"/>
  <c r="L3" i="3"/>
  <c r="I3" i="3"/>
  <c r="L2" i="3"/>
  <c r="L8" i="3" s="1"/>
  <c r="K2" i="3"/>
  <c r="I2" i="3"/>
  <c r="G2" i="3"/>
  <c r="K17" i="3"/>
  <c r="L17" i="3"/>
  <c r="L9" i="3" l="1"/>
  <c r="V43" i="1"/>
</calcChain>
</file>

<file path=xl/sharedStrings.xml><?xml version="1.0" encoding="utf-8"?>
<sst xmlns="http://schemas.openxmlformats.org/spreadsheetml/2006/main" count="1600" uniqueCount="842">
  <si>
    <t>VALTA Field Name</t>
  </si>
  <si>
    <t>VALTA Field Label/UI</t>
  </si>
  <si>
    <t>Data Control Type</t>
  </si>
  <si>
    <t>Source Type</t>
  </si>
  <si>
    <t>Dropdown List</t>
  </si>
  <si>
    <t>New Field</t>
  </si>
  <si>
    <t>Required</t>
  </si>
  <si>
    <t>App Location</t>
  </si>
  <si>
    <t>Valcre Field Name</t>
  </si>
  <si>
    <t>Valcre Field Label/UI</t>
  </si>
  <si>
    <t>Valcre Field ID</t>
  </si>
  <si>
    <t>Valcre Record Location</t>
  </si>
  <si>
    <t>Valcre Field Key (API)</t>
  </si>
  <si>
    <t>Used In Outputs</t>
  </si>
  <si>
    <t>Description</t>
  </si>
  <si>
    <t>Owner</t>
  </si>
  <si>
    <t>Status</t>
  </si>
  <si>
    <t>JobNumber</t>
  </si>
  <si>
    <t>Job Number</t>
  </si>
  <si>
    <t>Alpha Numeric</t>
  </si>
  <si>
    <t>Valcre API</t>
  </si>
  <si>
    <t>No</t>
  </si>
  <si>
    <t>Yes</t>
  </si>
  <si>
    <t>Number</t>
  </si>
  <si>
    <t>Job</t>
  </si>
  <si>
    <t>JobName</t>
  </si>
  <si>
    <t>Job Name</t>
  </si>
  <si>
    <t>User Input</t>
  </si>
  <si>
    <t>Name</t>
  </si>
  <si>
    <t>JobStatus</t>
  </si>
  <si>
    <t>Job Status</t>
  </si>
  <si>
    <t>Select one option</t>
  </si>
  <si>
    <t>SubjectProperty</t>
  </si>
  <si>
    <t>Subject Property</t>
  </si>
  <si>
    <t>Property._DisplayName</t>
  </si>
  <si>
    <t>ClientCompanyName</t>
  </si>
  <si>
    <t>Client Company Name</t>
  </si>
  <si>
    <t>Client</t>
  </si>
  <si>
    <t>Client._DisplayName</t>
  </si>
  <si>
    <t>ClientOrganizationAddress</t>
  </si>
  <si>
    <t>Client Organization Address</t>
  </si>
  <si>
    <t>Various</t>
  </si>
  <si>
    <t>Contact</t>
  </si>
  <si>
    <t>ClientFirstName</t>
  </si>
  <si>
    <t>Client First Name</t>
  </si>
  <si>
    <t>Text</t>
  </si>
  <si>
    <t>First Name</t>
  </si>
  <si>
    <t>FirstName</t>
  </si>
  <si>
    <t>ClientLastName</t>
  </si>
  <si>
    <t>Client Last Name</t>
  </si>
  <si>
    <t>Last Name</t>
  </si>
  <si>
    <t>LastName</t>
  </si>
  <si>
    <t>ClientTitle</t>
  </si>
  <si>
    <t>Client Title</t>
  </si>
  <si>
    <t>Title</t>
  </si>
  <si>
    <t>ClientPhone</t>
  </si>
  <si>
    <t>Client Phone</t>
  </si>
  <si>
    <t>Phone</t>
  </si>
  <si>
    <t>PhoneNumber</t>
  </si>
  <si>
    <t>ClientEmail</t>
  </si>
  <si>
    <t>Client Email</t>
  </si>
  <si>
    <t>Email</t>
  </si>
  <si>
    <t>PropertyName</t>
  </si>
  <si>
    <t>Property Name</t>
  </si>
  <si>
    <t>Property</t>
  </si>
  <si>
    <t>PropertyAddress</t>
  </si>
  <si>
    <t>Property Address</t>
  </si>
  <si>
    <t>Street Address</t>
  </si>
  <si>
    <t>AddressStreet</t>
  </si>
  <si>
    <t>PropertyType</t>
  </si>
  <si>
    <t>Property Type</t>
  </si>
  <si>
    <t>ListPropertyType</t>
  </si>
  <si>
    <t>Types</t>
  </si>
  <si>
    <t>PropertySubtype</t>
  </si>
  <si>
    <t>Property Subtype</t>
  </si>
  <si>
    <t>ListPropertySubtype</t>
  </si>
  <si>
    <t>Subtype</t>
  </si>
  <si>
    <t>SecondaryType</t>
  </si>
  <si>
    <t>Tenancy</t>
  </si>
  <si>
    <t>ListTenancy</t>
  </si>
  <si>
    <t>StateofImprovements</t>
  </si>
  <si>
    <t>State of Improvements</t>
  </si>
  <si>
    <t>Logic</t>
  </si>
  <si>
    <t>ListSateofImprovements</t>
  </si>
  <si>
    <t>StatusofImprovements</t>
  </si>
  <si>
    <t>Status of Improvements</t>
  </si>
  <si>
    <t>ListSatusofImprovements</t>
  </si>
  <si>
    <t>InterestAppraised</t>
  </si>
  <si>
    <t>Interest Appraised</t>
  </si>
  <si>
    <t>Select multiple options</t>
  </si>
  <si>
    <t>ListInterestAppraised</t>
  </si>
  <si>
    <t>AuthorizedUse</t>
  </si>
  <si>
    <t>Authorized Use</t>
  </si>
  <si>
    <t>ListAuthorizedUse</t>
  </si>
  <si>
    <t>ValueScenarios</t>
  </si>
  <si>
    <t>Value Scenario (s)</t>
  </si>
  <si>
    <t>ListValueScenarios</t>
  </si>
  <si>
    <t>ApproachestoValue</t>
  </si>
  <si>
    <t>Approaches to Value</t>
  </si>
  <si>
    <t>ListApproachestoValue</t>
  </si>
  <si>
    <t>AssignmentType</t>
  </si>
  <si>
    <t>Assignment Type</t>
  </si>
  <si>
    <t>ListAssignmentType</t>
  </si>
  <si>
    <t>ReportType</t>
  </si>
  <si>
    <t>Report Type</t>
  </si>
  <si>
    <t>ListReportType</t>
  </si>
  <si>
    <t>DesktopReport</t>
  </si>
  <si>
    <t>Desktop Report</t>
  </si>
  <si>
    <t>ListYes/No</t>
  </si>
  <si>
    <t>Valuetimeframe</t>
  </si>
  <si>
    <t>Value Timeframe</t>
  </si>
  <si>
    <t>ListValueTimeFrame</t>
  </si>
  <si>
    <t>InspectionDate</t>
  </si>
  <si>
    <t>Inspection Date</t>
  </si>
  <si>
    <t>Date</t>
  </si>
  <si>
    <t>Fee</t>
  </si>
  <si>
    <t>Whole Number</t>
  </si>
  <si>
    <t>Calculated</t>
  </si>
  <si>
    <t>DeliveryTime</t>
  </si>
  <si>
    <t>Delivery Time</t>
  </si>
  <si>
    <t>PaidDate</t>
  </si>
  <si>
    <t>Paid Date</t>
  </si>
  <si>
    <t xml:space="preserve">Paid </t>
  </si>
  <si>
    <t xml:space="preserve">Paid  </t>
  </si>
  <si>
    <t>Checkbox</t>
  </si>
  <si>
    <t>RequestDate</t>
  </si>
  <si>
    <t>Request Date</t>
  </si>
  <si>
    <t>BidDate</t>
  </si>
  <si>
    <t>Bid Date</t>
  </si>
  <si>
    <t>SignedDate</t>
  </si>
  <si>
    <t>Signed Date</t>
  </si>
  <si>
    <t>AwardDate</t>
  </si>
  <si>
    <t>Awarded Date</t>
  </si>
  <si>
    <t>DueDate</t>
  </si>
  <si>
    <t>Due Date</t>
  </si>
  <si>
    <t>AmountPaid</t>
  </si>
  <si>
    <t>Amount Paid</t>
  </si>
  <si>
    <t>Decimal</t>
  </si>
  <si>
    <t>ClientDocuments</t>
  </si>
  <si>
    <t>Client Documents</t>
  </si>
  <si>
    <t>ListClientDocuments</t>
  </si>
  <si>
    <t>TransactionStatus</t>
  </si>
  <si>
    <t>Transaction Status</t>
  </si>
  <si>
    <t>ListTransactionStatus</t>
  </si>
  <si>
    <t>ZoningStatus</t>
  </si>
  <si>
    <t>Zoning Status</t>
  </si>
  <si>
    <t>ListZoningStatus</t>
  </si>
  <si>
    <t>LandMetric</t>
  </si>
  <si>
    <t>Land $/Metric</t>
  </si>
  <si>
    <t>ListLand$/Metric</t>
  </si>
  <si>
    <t>CMHCFinancing</t>
  </si>
  <si>
    <t>CMHC Financing</t>
  </si>
  <si>
    <t>EA1</t>
  </si>
  <si>
    <t>Extra Ordinary Assumption - 1</t>
  </si>
  <si>
    <t>Multiple lines of text</t>
  </si>
  <si>
    <t>Extra Ordinary Assumption - 2</t>
  </si>
  <si>
    <t>Extra Ordinary Assumption - 3</t>
  </si>
  <si>
    <t>Extra Ordinary Assumption - 4</t>
  </si>
  <si>
    <t>Extra Ordinary Assumption - 5</t>
  </si>
  <si>
    <t>Building</t>
  </si>
  <si>
    <t>Parcel</t>
  </si>
  <si>
    <t>Type</t>
  </si>
  <si>
    <t>Calculation</t>
  </si>
  <si>
    <t>Label</t>
  </si>
  <si>
    <t>Custom Field</t>
  </si>
  <si>
    <t>DropdownLists</t>
  </si>
  <si>
    <t>ListMethod</t>
  </si>
  <si>
    <t>ListSourceType</t>
  </si>
  <si>
    <t>ListOutputType</t>
  </si>
  <si>
    <t>ListValcreRecordLocation</t>
  </si>
  <si>
    <t>ListDataControlType</t>
  </si>
  <si>
    <t>ListOutputLocation</t>
  </si>
  <si>
    <t>Used In Excel</t>
  </si>
  <si>
    <t>Used In Word</t>
  </si>
  <si>
    <t>Multifamily</t>
  </si>
  <si>
    <t>Apartment</t>
  </si>
  <si>
    <t>Multi-Tenant</t>
  </si>
  <si>
    <t xml:space="preserve">Fee Simple </t>
  </si>
  <si>
    <t>First Mortgage Financing</t>
  </si>
  <si>
    <t>Current</t>
  </si>
  <si>
    <t>Existing</t>
  </si>
  <si>
    <t>Existing - Completed</t>
  </si>
  <si>
    <t>As Is Vacant Land</t>
  </si>
  <si>
    <t>Land Direct Comparison Approach</t>
  </si>
  <si>
    <t>Direct Capitalization Method</t>
  </si>
  <si>
    <t>Comprehensive</t>
  </si>
  <si>
    <t>Single Property</t>
  </si>
  <si>
    <t>Not Applicable</t>
  </si>
  <si>
    <t>Previous Appraisal</t>
  </si>
  <si>
    <t>LOE</t>
  </si>
  <si>
    <t>HOME</t>
  </si>
  <si>
    <t>LOT</t>
  </si>
  <si>
    <t>Self-Storage</t>
  </si>
  <si>
    <t>Townhouse</t>
  </si>
  <si>
    <t>Owner Occupied</t>
  </si>
  <si>
    <t>Leased Fee Interest</t>
  </si>
  <si>
    <t>Financial Reporting</t>
  </si>
  <si>
    <t>Prospective</t>
  </si>
  <si>
    <t>Proposed</t>
  </si>
  <si>
    <t>Existing - Renovated</t>
  </si>
  <si>
    <t>As If Vacant Land</t>
  </si>
  <si>
    <t>Cost Approach</t>
  </si>
  <si>
    <t>Discounted Cash Flow Method</t>
  </si>
  <si>
    <t>Concise</t>
  </si>
  <si>
    <t>Multiple Properties</t>
  </si>
  <si>
    <t>Listed</t>
  </si>
  <si>
    <t>Property Details</t>
  </si>
  <si>
    <t>Excel</t>
  </si>
  <si>
    <t>EXEC</t>
  </si>
  <si>
    <t>Exec Summ</t>
  </si>
  <si>
    <t>Retail</t>
  </si>
  <si>
    <t>Mixed Use</t>
  </si>
  <si>
    <t>Partial Owner Occupied</t>
  </si>
  <si>
    <t>Leasehold Estate</t>
  </si>
  <si>
    <t>Insurance</t>
  </si>
  <si>
    <t>Retrospective</t>
  </si>
  <si>
    <t>Vacant Land</t>
  </si>
  <si>
    <t>Existing - Under Renovation</t>
  </si>
  <si>
    <t>As If Complete &amp; Stabilized</t>
  </si>
  <si>
    <t>Direct Comparison Approach</t>
  </si>
  <si>
    <t>Form</t>
  </si>
  <si>
    <t>Under Contract</t>
  </si>
  <si>
    <t>Proforma</t>
  </si>
  <si>
    <t>Word</t>
  </si>
  <si>
    <t>MAP</t>
  </si>
  <si>
    <t>Industrial</t>
  </si>
  <si>
    <t>Single-Tenant</t>
  </si>
  <si>
    <t>Going Concern</t>
  </si>
  <si>
    <t>Internal Decision-Making</t>
  </si>
  <si>
    <t>Existing - To Be Renovated</t>
  </si>
  <si>
    <t>As-Is</t>
  </si>
  <si>
    <t>Income Approach</t>
  </si>
  <si>
    <t>Unit Mix</t>
  </si>
  <si>
    <t>LOR</t>
  </si>
  <si>
    <t>IMPRV</t>
  </si>
  <si>
    <t>Office</t>
  </si>
  <si>
    <t>Unkown</t>
  </si>
  <si>
    <t>Acquisition-Disposition</t>
  </si>
  <si>
    <t>Proposed - Vacant Land</t>
  </si>
  <si>
    <t>As Stabilized</t>
  </si>
  <si>
    <t>Rent Roll</t>
  </si>
  <si>
    <t>ClickUP</t>
  </si>
  <si>
    <t>Land</t>
  </si>
  <si>
    <t>Vacant</t>
  </si>
  <si>
    <t>Estate Planning</t>
  </si>
  <si>
    <t xml:space="preserve">Proposed - Improved Land (Demolition Required) </t>
  </si>
  <si>
    <t>As If Complete &amp; Stabilized - Renovated</t>
  </si>
  <si>
    <t>Historical Operating Expenses</t>
  </si>
  <si>
    <t>QBO</t>
  </si>
  <si>
    <t>Hotel</t>
  </si>
  <si>
    <t>Litigation</t>
  </si>
  <si>
    <t>Proposed - Under Construction</t>
  </si>
  <si>
    <t>As If Complete - Rezoned</t>
  </si>
  <si>
    <t>Development Permit Drawings</t>
  </si>
  <si>
    <t>LOE, Excel, Word</t>
  </si>
  <si>
    <t xml:space="preserve">Seniors </t>
  </si>
  <si>
    <t>GST</t>
  </si>
  <si>
    <t>As If Complete - Serviced</t>
  </si>
  <si>
    <t>Contact for Property Tour</t>
  </si>
  <si>
    <t>LOR, Excel, Word, CU</t>
  </si>
  <si>
    <t>Other</t>
  </si>
  <si>
    <t>As If Complete - Subdivided</t>
  </si>
  <si>
    <t>Purchase &amp; Sale Agreement</t>
  </si>
  <si>
    <t>LOE, Excel, Word, LOR, CU</t>
  </si>
  <si>
    <t>Insurable Replacement Cost</t>
  </si>
  <si>
    <t>Environmental Reports</t>
  </si>
  <si>
    <t>LOE, Excel, Word, LOR, CU, QBO</t>
  </si>
  <si>
    <t>Property Condition Reports</t>
  </si>
  <si>
    <t>Rule ID</t>
  </si>
  <si>
    <t>Rule Set ID</t>
  </si>
  <si>
    <t>Rule Group</t>
  </si>
  <si>
    <t>Rule Role</t>
  </si>
  <si>
    <t>Logic Type</t>
  </si>
  <si>
    <t>Rule Type</t>
  </si>
  <si>
    <t>Valta Field Name</t>
  </si>
  <si>
    <t>Operator</t>
  </si>
  <si>
    <t>Dropdown Value</t>
  </si>
  <si>
    <t>Result Value</t>
  </si>
  <si>
    <t>Text ID</t>
  </si>
  <si>
    <t>Priority</t>
  </si>
  <si>
    <t>R001</t>
  </si>
  <si>
    <t>100-Interest</t>
  </si>
  <si>
    <t>Interest Rule</t>
  </si>
  <si>
    <t>Set Value</t>
  </si>
  <si>
    <t>=</t>
  </si>
  <si>
    <t>None</t>
  </si>
  <si>
    <t>R002</t>
  </si>
  <si>
    <t>And</t>
  </si>
  <si>
    <t>R003</t>
  </si>
  <si>
    <t>Condition + Output</t>
  </si>
  <si>
    <t>R004</t>
  </si>
  <si>
    <t>R005</t>
  </si>
  <si>
    <t>R006</t>
  </si>
  <si>
    <t>R007</t>
  </si>
  <si>
    <t>R008</t>
  </si>
  <si>
    <t>R009</t>
  </si>
  <si>
    <t>Owner-Occupied</t>
  </si>
  <si>
    <t>R010</t>
  </si>
  <si>
    <t xml:space="preserve">Fee Simple &amp; Lease Fee </t>
  </si>
  <si>
    <t>R011</t>
  </si>
  <si>
    <t>200-Scenario</t>
  </si>
  <si>
    <t>Scenario Rule</t>
  </si>
  <si>
    <t>Add Value</t>
  </si>
  <si>
    <t>R012</t>
  </si>
  <si>
    <t>R013</t>
  </si>
  <si>
    <t>As Is</t>
  </si>
  <si>
    <t>R014</t>
  </si>
  <si>
    <t>R015</t>
  </si>
  <si>
    <t>R016</t>
  </si>
  <si>
    <t>R017</t>
  </si>
  <si>
    <t>R018</t>
  </si>
  <si>
    <t xml:space="preserve">As If Complete &amp; Stabilized </t>
  </si>
  <si>
    <t>R019</t>
  </si>
  <si>
    <t>As If Vacant</t>
  </si>
  <si>
    <t>R020</t>
  </si>
  <si>
    <t>R021</t>
  </si>
  <si>
    <t>R022</t>
  </si>
  <si>
    <t>R023</t>
  </si>
  <si>
    <t>R024</t>
  </si>
  <si>
    <t>300-Approach</t>
  </si>
  <si>
    <t>Approach Rule</t>
  </si>
  <si>
    <t xml:space="preserve">Direct Comparison  </t>
  </si>
  <si>
    <t>R025</t>
  </si>
  <si>
    <t>R026</t>
  </si>
  <si>
    <t>R027</t>
  </si>
  <si>
    <t>R028</t>
  </si>
  <si>
    <t>Insert EA/HC Text</t>
  </si>
  <si>
    <t xml:space="preserve">EA Text </t>
  </si>
  <si>
    <t>N/A</t>
  </si>
  <si>
    <t>The As If Vacant market land value is developed under the hypothetical condition that the existing improvements on the subject site do not exist, and that the property is vacant as of the effective date. This condition is contrary to the known physical state of the property and is made for the purpose of estimating the underlying land value.</t>
  </si>
  <si>
    <t>Narrative ID</t>
  </si>
  <si>
    <t>Narrative Type</t>
  </si>
  <si>
    <t>Narrative Name</t>
  </si>
  <si>
    <t>Used In</t>
  </si>
  <si>
    <t>EA-001</t>
  </si>
  <si>
    <t>Extraordinary Assumption</t>
  </si>
  <si>
    <t>As If Vacant  Demolition</t>
  </si>
  <si>
    <t>Report | LOE</t>
  </si>
  <si>
    <t>EA-002</t>
  </si>
  <si>
    <t>Meaning</t>
  </si>
  <si>
    <t>Example</t>
  </si>
  <si>
    <t>Rule Types</t>
  </si>
  <si>
    <t>Purpose</t>
  </si>
  <si>
    <t>Rule Groups</t>
  </si>
  <si>
    <t>Equals</t>
  </si>
  <si>
    <t>Property Type = Multifamily</t>
  </si>
  <si>
    <t>Condition</t>
  </si>
  <si>
    <t>IF</t>
  </si>
  <si>
    <t>Calculate or assign values based on inputs</t>
  </si>
  <si>
    <t>Property Identification</t>
  </si>
  <si>
    <t>≠</t>
  </si>
  <si>
    <t>Not Equal</t>
  </si>
  <si>
    <t>Property Type ≠ Industrial</t>
  </si>
  <si>
    <t>Output</t>
  </si>
  <si>
    <t>Then</t>
  </si>
  <si>
    <t>Or</t>
  </si>
  <si>
    <t>Add Value ✅</t>
  </si>
  <si>
    <t>Force a value (overwrite)</t>
  </si>
  <si>
    <t>IN</t>
  </si>
  <si>
    <t>One of several values</t>
  </si>
  <si>
    <t>Property Type IN (Multifamily, Self Storage)</t>
  </si>
  <si>
    <t>If Then</t>
  </si>
  <si>
    <t>Remove Value</t>
  </si>
  <si>
    <t>Add to multi-select field</t>
  </si>
  <si>
    <t>Valuation Premise</t>
  </si>
  <si>
    <t>NOT IN</t>
  </si>
  <si>
    <t>Not one of several values</t>
  </si>
  <si>
    <t>Property Type NOT IN (Retail, Office)</t>
  </si>
  <si>
    <t>Replace Text</t>
  </si>
  <si>
    <t>Remove from multi-select</t>
  </si>
  <si>
    <t>Valuation Scenario</t>
  </si>
  <si>
    <t>&gt;</t>
  </si>
  <si>
    <t>Greater than</t>
  </si>
  <si>
    <t>Unit Count &gt; 100</t>
  </si>
  <si>
    <t>Append Text</t>
  </si>
  <si>
    <t>&lt;</t>
  </si>
  <si>
    <t>Less than</t>
  </si>
  <si>
    <t>Building Size &lt; 10,000</t>
  </si>
  <si>
    <t>Calculate</t>
  </si>
  <si>
    <t>EA / HC Logic</t>
  </si>
  <si>
    <t>≥</t>
  </si>
  <si>
    <t>Greater than or equal</t>
  </si>
  <si>
    <t>Site Area ≥ 1 acre</t>
  </si>
  <si>
    <t>Show</t>
  </si>
  <si>
    <t>Inspection Logic</t>
  </si>
  <si>
    <t>≤</t>
  </si>
  <si>
    <t>Less than or equal</t>
  </si>
  <si>
    <t>Vacancy Rate ≤ 5%</t>
  </si>
  <si>
    <t>Hide</t>
  </si>
  <si>
    <t>Scope of Work (LOE)</t>
  </si>
  <si>
    <t>CONTAINS</t>
  </si>
  <si>
    <t>Text contains value</t>
  </si>
  <si>
    <t>Address CONTAINS “Calgary”</t>
  </si>
  <si>
    <t>Report Narrative</t>
  </si>
  <si>
    <t>IS EMPTY</t>
  </si>
  <si>
    <t>No value entered</t>
  </si>
  <si>
    <t>Pro Forma IS EMPTY</t>
  </si>
  <si>
    <t>Data Collection</t>
  </si>
  <si>
    <t>IS NOT EMPTY</t>
  </si>
  <si>
    <t>Value exists</t>
  </si>
  <si>
    <t>Inspection Date IS NOT EMPTY</t>
  </si>
  <si>
    <t>Fee Calculation</t>
  </si>
  <si>
    <t>Invoice Generation</t>
  </si>
  <si>
    <t>Workflow Automation</t>
  </si>
  <si>
    <t>System Integration</t>
  </si>
  <si>
    <t>Validation</t>
  </si>
  <si>
    <t>Action</t>
  </si>
  <si>
    <t>Set</t>
  </si>
  <si>
    <t>Add</t>
  </si>
  <si>
    <t>Remove</t>
  </si>
  <si>
    <t>Trigger</t>
  </si>
  <si>
    <t>Validation Rule</t>
  </si>
  <si>
    <t>Enforce correctness / block submission</t>
  </si>
  <si>
    <t>Conditional Required</t>
  </si>
  <si>
    <t>Make a field required</t>
  </si>
  <si>
    <t>Workflow Trigger</t>
  </si>
  <si>
    <t>Create tasks, statuses, notifications</t>
  </si>
  <si>
    <t>Narrative Generation</t>
  </si>
  <si>
    <t>Output text</t>
  </si>
  <si>
    <t>Document Output</t>
  </si>
  <si>
    <t>Control what appears in LOE/report</t>
  </si>
  <si>
    <t>Integration Trigger</t>
  </si>
  <si>
    <t>Push to external systems</t>
  </si>
  <si>
    <t>Valcre Job Field Name</t>
  </si>
  <si>
    <t>Valcre Job Field Label</t>
  </si>
  <si>
    <t>Valcre Contact Field Name</t>
  </si>
  <si>
    <t>Valcre Contact Field Label</t>
  </si>
  <si>
    <t>Valcre Property Field Name</t>
  </si>
  <si>
    <t>Valcre Property Field Label</t>
  </si>
  <si>
    <t>Valcre Building Field Name</t>
  </si>
  <si>
    <t>Valcre Building Field Label</t>
  </si>
  <si>
    <t>Valcre Parcel Assessment Field Name</t>
  </si>
  <si>
    <t>Valcre Parcel Assessment Field Label</t>
  </si>
  <si>
    <t>Valcre Parcel Field Name</t>
  </si>
  <si>
    <t>Valcre Parcel Field Label</t>
  </si>
  <si>
    <t>Job ID</t>
  </si>
  <si>
    <t>Id</t>
  </si>
  <si>
    <t>Contact ID</t>
  </si>
  <si>
    <t>Property ID</t>
  </si>
  <si>
    <t>Company Name</t>
  </si>
  <si>
    <t>Company</t>
  </si>
  <si>
    <t>Building Name</t>
  </si>
  <si>
    <t>Year</t>
  </si>
  <si>
    <t>Parcel number</t>
  </si>
  <si>
    <t>Main Phone</t>
  </si>
  <si>
    <t>CompanyPhoneNumber</t>
  </si>
  <si>
    <t>Comments</t>
  </si>
  <si>
    <t>LandValue</t>
  </si>
  <si>
    <t>Legal description</t>
  </si>
  <si>
    <t>LegalDescription</t>
  </si>
  <si>
    <t>Client File Number</t>
  </si>
  <si>
    <t>ClientRef</t>
  </si>
  <si>
    <t>Main Fax</t>
  </si>
  <si>
    <t>CompanyFaxNumber</t>
  </si>
  <si>
    <t>Unit</t>
  </si>
  <si>
    <t>AddressStreet2</t>
  </si>
  <si>
    <t>Year Built</t>
  </si>
  <si>
    <t>YearBuilt</t>
  </si>
  <si>
    <t>Improved</t>
  </si>
  <si>
    <t>ImprovedValue</t>
  </si>
  <si>
    <t>Primary land</t>
  </si>
  <si>
    <t>PrimaryArea</t>
  </si>
  <si>
    <t>Borrower</t>
  </si>
  <si>
    <t>Website</t>
  </si>
  <si>
    <t>CompanyWebsite</t>
  </si>
  <si>
    <t>City</t>
  </si>
  <si>
    <t>AddressCity</t>
  </si>
  <si>
    <t>Year Renovated</t>
  </si>
  <si>
    <t>YearRenovated</t>
  </si>
  <si>
    <t>Exemptions</t>
  </si>
  <si>
    <t>Excess land</t>
  </si>
  <si>
    <t>ExcessArea</t>
  </si>
  <si>
    <t>Company Type</t>
  </si>
  <si>
    <t>CompanyType</t>
  </si>
  <si>
    <t>State/Province</t>
  </si>
  <si>
    <t>AddressState</t>
  </si>
  <si>
    <t>Dock Doors</t>
  </si>
  <si>
    <t>DockDoorCount</t>
  </si>
  <si>
    <t>Total</t>
  </si>
  <si>
    <t>TotalValue</t>
  </si>
  <si>
    <t>Surplus land</t>
  </si>
  <si>
    <t>SurplusArea</t>
  </si>
  <si>
    <t>ZIP/Postal</t>
  </si>
  <si>
    <t>AddressPostalCode</t>
  </si>
  <si>
    <t>Grade Doors</t>
  </si>
  <si>
    <t>GradeDoorCount</t>
  </si>
  <si>
    <t>Taxes</t>
  </si>
  <si>
    <t>Unusable land</t>
  </si>
  <si>
    <t>UnusableArea</t>
  </si>
  <si>
    <t>Retainer</t>
  </si>
  <si>
    <t>Country</t>
  </si>
  <si>
    <t>AddressCountry</t>
  </si>
  <si>
    <t>Rail Doors</t>
  </si>
  <si>
    <t>RailDoorCount</t>
  </si>
  <si>
    <t>ParcelId</t>
  </si>
  <si>
    <t>UsableArea</t>
  </si>
  <si>
    <t>Region</t>
  </si>
  <si>
    <t>AddressCounty</t>
  </si>
  <si>
    <t>Cross Docks</t>
  </si>
  <si>
    <t>CrossDockCount</t>
  </si>
  <si>
    <t>Created</t>
  </si>
  <si>
    <t>CreatedTime</t>
  </si>
  <si>
    <t>GrossArea</t>
  </si>
  <si>
    <t>Check Number</t>
  </si>
  <si>
    <t>CheckNumber</t>
  </si>
  <si>
    <t>Market Name</t>
  </si>
  <si>
    <t>Market</t>
  </si>
  <si>
    <t>Levelers</t>
  </si>
  <si>
    <t>HasLevelers</t>
  </si>
  <si>
    <t>Updated</t>
  </si>
  <si>
    <t>ModifiedTime</t>
  </si>
  <si>
    <t>AssessedValue</t>
  </si>
  <si>
    <t>Appraised Value</t>
  </si>
  <si>
    <t>AppraisedValue</t>
  </si>
  <si>
    <t>Submarket</t>
  </si>
  <si>
    <t>SubmarketName</t>
  </si>
  <si>
    <t>Clear Height</t>
  </si>
  <si>
    <t>ClearHeightComments</t>
  </si>
  <si>
    <t>Display Name</t>
  </si>
  <si>
    <t>_DisplayName</t>
  </si>
  <si>
    <t>Latitude</t>
  </si>
  <si>
    <t>Clear Span (Columns)</t>
  </si>
  <si>
    <t>ClearSpanComments</t>
  </si>
  <si>
    <t>Parcel._DisplayName</t>
  </si>
  <si>
    <t>Longitude</t>
  </si>
  <si>
    <t>Maneuverability</t>
  </si>
  <si>
    <t>ManeuverabilityComments</t>
  </si>
  <si>
    <t>CustomFields</t>
  </si>
  <si>
    <t>PropertyId</t>
  </si>
  <si>
    <t>Number of Floors</t>
  </si>
  <si>
    <t>FloorCount</t>
  </si>
  <si>
    <t>Internal Due Date</t>
  </si>
  <si>
    <t>InternalDueDate</t>
  </si>
  <si>
    <t>Building Class</t>
  </si>
  <si>
    <t>ClassComments</t>
  </si>
  <si>
    <t>Invoice Date</t>
  </si>
  <si>
    <t>InvoiceDate</t>
  </si>
  <si>
    <t>Mobile</t>
  </si>
  <si>
    <t>CellNumber</t>
  </si>
  <si>
    <t>Parcel ID</t>
  </si>
  <si>
    <t>ParcelNumbers</t>
  </si>
  <si>
    <t>Foundation</t>
  </si>
  <si>
    <t>FoundationComments</t>
  </si>
  <si>
    <t>Number of Parcels</t>
  </si>
  <si>
    <t>ParcelCount</t>
  </si>
  <si>
    <t>Exterior Walls/Framing</t>
  </si>
  <si>
    <t>ExteriorWallComments</t>
  </si>
  <si>
    <t>LatestAssessment</t>
  </si>
  <si>
    <t>LatestAssessment._DisplayName</t>
  </si>
  <si>
    <t>Salutation</t>
  </si>
  <si>
    <t>Land Area (AC)</t>
  </si>
  <si>
    <t>LandAreaAC</t>
  </si>
  <si>
    <t>Roof</t>
  </si>
  <si>
    <t>RoofComments</t>
  </si>
  <si>
    <t>Date of Value</t>
  </si>
  <si>
    <t>EffectiveDate</t>
  </si>
  <si>
    <t>Suffix</t>
  </si>
  <si>
    <t>Land Area</t>
  </si>
  <si>
    <t>LandAreaSF</t>
  </si>
  <si>
    <t>Elevators</t>
  </si>
  <si>
    <t>ElevatorComments</t>
  </si>
  <si>
    <t>Assessments</t>
  </si>
  <si>
    <t>Format</t>
  </si>
  <si>
    <t>ReportFormat</t>
  </si>
  <si>
    <t>Division</t>
  </si>
  <si>
    <t>Buildable Area</t>
  </si>
  <si>
    <t>BuildableArea</t>
  </si>
  <si>
    <t>HVAC</t>
  </si>
  <si>
    <t>HvacComments</t>
  </si>
  <si>
    <t>PropertyDemographics</t>
  </si>
  <si>
    <t>IntendedUses</t>
  </si>
  <si>
    <t>Extension</t>
  </si>
  <si>
    <t>Zone Name</t>
  </si>
  <si>
    <t>ZoningName</t>
  </si>
  <si>
    <t>Insulation</t>
  </si>
  <si>
    <t>InsulationComments</t>
  </si>
  <si>
    <t>Files</t>
  </si>
  <si>
    <t>Scope</t>
  </si>
  <si>
    <t>Scopes</t>
  </si>
  <si>
    <t>Fax</t>
  </si>
  <si>
    <t>FaxNumber</t>
  </si>
  <si>
    <t>Zoning</t>
  </si>
  <si>
    <t>Lighting</t>
  </si>
  <si>
    <t>LightingComments</t>
  </si>
  <si>
    <t>Analysis Level</t>
  </si>
  <si>
    <t>AnalysisLevel</t>
  </si>
  <si>
    <t>Notes</t>
  </si>
  <si>
    <t>Shape</t>
  </si>
  <si>
    <t>SiteShape</t>
  </si>
  <si>
    <t>Electrical</t>
  </si>
  <si>
    <t>ElectricalComments</t>
  </si>
  <si>
    <t>Purposes</t>
  </si>
  <si>
    <t>Confidential</t>
  </si>
  <si>
    <t>Privacy</t>
  </si>
  <si>
    <t>Topography</t>
  </si>
  <si>
    <t>SiteTopography</t>
  </si>
  <si>
    <t>Interior Walls</t>
  </si>
  <si>
    <t>InteriorWallComments</t>
  </si>
  <si>
    <t>Values</t>
  </si>
  <si>
    <t>RequestedValues</t>
  </si>
  <si>
    <t>Site Grade</t>
  </si>
  <si>
    <t>SiteGrade</t>
  </si>
  <si>
    <t>Doors and Windows</t>
  </si>
  <si>
    <t>DoorAndWindowComments</t>
  </si>
  <si>
    <t>Staff 1 Role</t>
  </si>
  <si>
    <t>Staff1Role</t>
  </si>
  <si>
    <t>Address</t>
  </si>
  <si>
    <t>FullAddress</t>
  </si>
  <si>
    <t>Corner</t>
  </si>
  <si>
    <t>SiteCorner</t>
  </si>
  <si>
    <t>Ceilings</t>
  </si>
  <si>
    <t>CeilingComments</t>
  </si>
  <si>
    <t>Staff 2 Role</t>
  </si>
  <si>
    <t>Staff2Role</t>
  </si>
  <si>
    <t>FullAddressMultiLine</t>
  </si>
  <si>
    <t>Density</t>
  </si>
  <si>
    <t>Plumbing</t>
  </si>
  <si>
    <t>PlumbingComments</t>
  </si>
  <si>
    <t>Staff 3 Role</t>
  </si>
  <si>
    <t>Staff3Role</t>
  </si>
  <si>
    <t>FullContactInformation</t>
  </si>
  <si>
    <t>Permitted FAR</t>
  </si>
  <si>
    <t>PermittedFAR</t>
  </si>
  <si>
    <t>Floor Coverings</t>
  </si>
  <si>
    <t>FloorComments</t>
  </si>
  <si>
    <t>Permitted Building Height</t>
  </si>
  <si>
    <t>PermittedBuildingHeight</t>
  </si>
  <si>
    <t>Fire Safety</t>
  </si>
  <si>
    <t>SafetyFeaturesComments</t>
  </si>
  <si>
    <t>General</t>
  </si>
  <si>
    <t>Proposed Land Use</t>
  </si>
  <si>
    <t>ProposedLandUse</t>
  </si>
  <si>
    <t>Interior Finish/Build-Out</t>
  </si>
  <si>
    <t>InteriorFinishComments</t>
  </si>
  <si>
    <t>ClientComments</t>
  </si>
  <si>
    <t>Site H&amp;BU</t>
  </si>
  <si>
    <t>SiteHBU</t>
  </si>
  <si>
    <t>Site Improvements</t>
  </si>
  <si>
    <t>SiteImprovementComments</t>
  </si>
  <si>
    <t>Delivery</t>
  </si>
  <si>
    <t>DeliveryComments</t>
  </si>
  <si>
    <t>Office._DisplayName</t>
  </si>
  <si>
    <t>Off-Site Improvements</t>
  </si>
  <si>
    <t>OffSiteImprovements</t>
  </si>
  <si>
    <t>Deferred Maintenance</t>
  </si>
  <si>
    <t>DeferredMaintenanceComments</t>
  </si>
  <si>
    <t>Payment</t>
  </si>
  <si>
    <t>PaymentComments</t>
  </si>
  <si>
    <t>Relationship Owner</t>
  </si>
  <si>
    <t>Owner._DisplayName</t>
  </si>
  <si>
    <t>View</t>
  </si>
  <si>
    <t>SiteView</t>
  </si>
  <si>
    <t>Gross Building Area (GBA)</t>
  </si>
  <si>
    <t>GrossBuildingArea</t>
  </si>
  <si>
    <t>Amount Outstanding</t>
  </si>
  <si>
    <t>AmountOutstanding</t>
  </si>
  <si>
    <t>Utilities</t>
  </si>
  <si>
    <t>Net Rentable Area (NRA)</t>
  </si>
  <si>
    <t>NetRentableArea</t>
  </si>
  <si>
    <t>Days Sales Outstanding</t>
  </si>
  <si>
    <t>DaysToPaid</t>
  </si>
  <si>
    <t>Easements</t>
  </si>
  <si>
    <t>First Floor Footprint (SF)</t>
  </si>
  <si>
    <t>FootprintArea</t>
  </si>
  <si>
    <t>Aging</t>
  </si>
  <si>
    <t>DaysSinceInvoiced</t>
  </si>
  <si>
    <t>Entitlements</t>
  </si>
  <si>
    <t>Finished Basement (SF)</t>
  </si>
  <si>
    <t>FinishedBasementArea</t>
  </si>
  <si>
    <t>Appraisers</t>
  </si>
  <si>
    <t>StaffAppraisers</t>
  </si>
  <si>
    <t>Environmental</t>
  </si>
  <si>
    <t>EnvironmentalIssues</t>
  </si>
  <si>
    <t>Unfinished Basement (SF)</t>
  </si>
  <si>
    <t>UnfinishedBasementArea</t>
  </si>
  <si>
    <t>Assistants</t>
  </si>
  <si>
    <t>StaffAssistants</t>
  </si>
  <si>
    <t>Frontage</t>
  </si>
  <si>
    <t>Warehouse Area (SF)</t>
  </si>
  <si>
    <t>WarehouseArea</t>
  </si>
  <si>
    <t>Procurers</t>
  </si>
  <si>
    <t>StaffProcurers</t>
  </si>
  <si>
    <t>Flood Zones</t>
  </si>
  <si>
    <t>SiteFloodZone</t>
  </si>
  <si>
    <t>Office Area (SF)</t>
  </si>
  <si>
    <t>OfficeArea</t>
  </si>
  <si>
    <t>Reviewers</t>
  </si>
  <si>
    <t>StaffReviewers</t>
  </si>
  <si>
    <t>Project Design</t>
  </si>
  <si>
    <t>ProjectDesign</t>
  </si>
  <si>
    <t>Office Buildout</t>
  </si>
  <si>
    <t>OfficeBuildoutRatio</t>
  </si>
  <si>
    <t>Refrigeration Ratio</t>
  </si>
  <si>
    <t>WarehouseRefrigerationRatio</t>
  </si>
  <si>
    <t>A/C Ratio</t>
  </si>
  <si>
    <t>WarehouseACRatio</t>
  </si>
  <si>
    <t>BuildingFootprint</t>
  </si>
  <si>
    <t>Cranes</t>
  </si>
  <si>
    <t>Site Coverage Ratio</t>
  </si>
  <si>
    <t>SiteCoverageRatio</t>
  </si>
  <si>
    <t>Property Contact</t>
  </si>
  <si>
    <t>PropertyContact._DisplayName</t>
  </si>
  <si>
    <t>Land to Building Ratio</t>
  </si>
  <si>
    <t>LandToBuildingRatio</t>
  </si>
  <si>
    <t>Units</t>
  </si>
  <si>
    <t>UnitsCount</t>
  </si>
  <si>
    <t>Primary Appraiser</t>
  </si>
  <si>
    <t>Parking Spaces</t>
  </si>
  <si>
    <t>ParkingSpacesCount</t>
  </si>
  <si>
    <t>Parking Ratio</t>
  </si>
  <si>
    <t>ParkingRatio</t>
  </si>
  <si>
    <t>Staff1</t>
  </si>
  <si>
    <t>Staff1._DisplayName</t>
  </si>
  <si>
    <t>Parking Type</t>
  </si>
  <si>
    <t>ParkingTypes</t>
  </si>
  <si>
    <t>Staff2</t>
  </si>
  <si>
    <t>Staff2._DisplayName</t>
  </si>
  <si>
    <t>Number of Buildings</t>
  </si>
  <si>
    <t>BuildingsCount</t>
  </si>
  <si>
    <t>Staff3</t>
  </si>
  <si>
    <t>Staff3._DisplayName</t>
  </si>
  <si>
    <t>FloorsCount</t>
  </si>
  <si>
    <t>Sets</t>
  </si>
  <si>
    <t>JobLinkedPropertyExpenses</t>
  </si>
  <si>
    <t>BuildingTenancy</t>
  </si>
  <si>
    <t>JobLinkedPropertyLeases</t>
  </si>
  <si>
    <t>BuildingMaterials</t>
  </si>
  <si>
    <t>JobLinkedPropertySales</t>
  </si>
  <si>
    <t>Fire Sprinkler</t>
  </si>
  <si>
    <t>FireSprinkler</t>
  </si>
  <si>
    <t>JobLinkedPropertySurveys</t>
  </si>
  <si>
    <t>BuildingClass</t>
  </si>
  <si>
    <t>Leases</t>
  </si>
  <si>
    <t>FAR</t>
  </si>
  <si>
    <t>FloorAreaRatio</t>
  </si>
  <si>
    <t>Expenses</t>
  </si>
  <si>
    <t>Elevator</t>
  </si>
  <si>
    <t>Sales</t>
  </si>
  <si>
    <t>Loss Factor</t>
  </si>
  <si>
    <t>BuildingLossFactor</t>
  </si>
  <si>
    <t>Surveys</t>
  </si>
  <si>
    <t>BuildingGradeDoorsCount</t>
  </si>
  <si>
    <t>DiscountedCashFlows</t>
  </si>
  <si>
    <t>BuildingDockDoorsCount</t>
  </si>
  <si>
    <t>WarehouseSF</t>
  </si>
  <si>
    <t>OfficeSF</t>
  </si>
  <si>
    <t>BuildingOfficeBuildout</t>
  </si>
  <si>
    <t>BuildingRailDoorsCount</t>
  </si>
  <si>
    <t>BuildingCrossDocksCount</t>
  </si>
  <si>
    <t>ClearHeight</t>
  </si>
  <si>
    <t>ClearSpan</t>
  </si>
  <si>
    <t>Truck Maneuverability</t>
  </si>
  <si>
    <t>Power</t>
  </si>
  <si>
    <t>Average Bay Depth</t>
  </si>
  <si>
    <t>BuildingAverageBayDepth</t>
  </si>
  <si>
    <t>Anchor Tenants</t>
  </si>
  <si>
    <t>BuildingAnchorTenants</t>
  </si>
  <si>
    <t>Anchor Ratio</t>
  </si>
  <si>
    <t>BuildingAnchorRatio</t>
  </si>
  <si>
    <t>Project Amenities</t>
  </si>
  <si>
    <t>Amenities</t>
  </si>
  <si>
    <t>Unit Amenities</t>
  </si>
  <si>
    <t>UnitAmenities</t>
  </si>
  <si>
    <t>Laundry</t>
  </si>
  <si>
    <t>IncludedLaundryAmenities</t>
  </si>
  <si>
    <t>Security Features</t>
  </si>
  <si>
    <t>SecurityFeatures</t>
  </si>
  <si>
    <t>StorageFacilityFeatures</t>
  </si>
  <si>
    <t>Security</t>
  </si>
  <si>
    <t>StorageSecurityFeatures</t>
  </si>
  <si>
    <t>Vehicle Storage Spaces</t>
  </si>
  <si>
    <t>VehicleStorageCount</t>
  </si>
  <si>
    <t>Retail Area</t>
  </si>
  <si>
    <t>StorageRetailArea</t>
  </si>
  <si>
    <t>Hotel Type</t>
  </si>
  <si>
    <t>HotelServiceType</t>
  </si>
  <si>
    <t>Access Type</t>
  </si>
  <si>
    <t>HotelAccessType</t>
  </si>
  <si>
    <t>Chain Scale</t>
  </si>
  <si>
    <t>HotelChainScale</t>
  </si>
  <si>
    <t>Hotel Amenities</t>
  </si>
  <si>
    <t>HotelGuestAmenities</t>
  </si>
  <si>
    <t>Room Amenities</t>
  </si>
  <si>
    <t>HotelRoomAmenities</t>
  </si>
  <si>
    <t>Meeting Space</t>
  </si>
  <si>
    <t>HotelMeetingSpaceArea</t>
  </si>
  <si>
    <t>Restaurant (SF)</t>
  </si>
  <si>
    <t>HotelRestaurantArea</t>
  </si>
  <si>
    <t>Lobby Common Area (SF)</t>
  </si>
  <si>
    <t>HotelLobbyArea</t>
  </si>
  <si>
    <t>Back Office (SF)</t>
  </si>
  <si>
    <t>HotelBackOfficeArea</t>
  </si>
  <si>
    <t>Flag</t>
  </si>
  <si>
    <t>HotelFlag</t>
  </si>
  <si>
    <t>Date Opened</t>
  </si>
  <si>
    <t>OpenedDate</t>
  </si>
  <si>
    <t>Landscaping</t>
  </si>
  <si>
    <t>LandscapingComments</t>
  </si>
  <si>
    <t>Signage</t>
  </si>
  <si>
    <t>SignageComments</t>
  </si>
  <si>
    <t>Functional Design</t>
  </si>
  <si>
    <t>FunctionalDesignComments</t>
  </si>
  <si>
    <t>Yard Storage</t>
  </si>
  <si>
    <t>YardStorageComments</t>
  </si>
  <si>
    <t>Investment Grade</t>
  </si>
  <si>
    <t>InvestmentGrade</t>
  </si>
  <si>
    <t>Geographic Location</t>
  </si>
  <si>
    <t>PopulationArea</t>
  </si>
  <si>
    <t>Adjacent North</t>
  </si>
  <si>
    <t>AdjacentNorthComments</t>
  </si>
  <si>
    <t>Adjacent South</t>
  </si>
  <si>
    <t>AdjacentSouthComments</t>
  </si>
  <si>
    <t>Adjacent East</t>
  </si>
  <si>
    <t>AdjacentEastComments</t>
  </si>
  <si>
    <t>Adjacent West</t>
  </si>
  <si>
    <t>AdjacentWestComments</t>
  </si>
  <si>
    <t>Location Quality</t>
  </si>
  <si>
    <t>QualitativeLocation</t>
  </si>
  <si>
    <t>Access</t>
  </si>
  <si>
    <t>QualitativeAccess</t>
  </si>
  <si>
    <t>Exposure</t>
  </si>
  <si>
    <t>QualitativeExposure</t>
  </si>
  <si>
    <t>Building Quality</t>
  </si>
  <si>
    <t>QualitativeBuilding</t>
  </si>
  <si>
    <t>QualitativeCondition</t>
  </si>
  <si>
    <t>Appeal</t>
  </si>
  <si>
    <t>QualitativeAppeal</t>
  </si>
  <si>
    <t>Property Comments</t>
  </si>
  <si>
    <t>DescriptionText</t>
  </si>
  <si>
    <t>Comments (Private)</t>
  </si>
  <si>
    <t>CommentsPrivate</t>
  </si>
  <si>
    <t>Utility</t>
  </si>
  <si>
    <t>SiteUtility</t>
  </si>
  <si>
    <t>LatestSurvey</t>
  </si>
  <si>
    <t>LatestSurvey._DisplayName</t>
  </si>
  <si>
    <t>Primary Photo</t>
  </si>
  <si>
    <t>PrimaryImage._DisplayName</t>
  </si>
  <si>
    <t>Buildings</t>
  </si>
  <si>
    <t>Streets</t>
  </si>
  <si>
    <t>Parcels</t>
  </si>
  <si>
    <t>LinkedContacts</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</si>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</sst>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4"/>
      <color theme="0"/>
      <name val="Segoe UI"/>
      <family val="2"/>
    </font>
    <font>
      <sz val="14"/>
      <color theme="0"/>
      <name val="Open Sans"/>
      <family val="2"/>
    </font>
    <font>
      <sz val="9"/>
      <color theme="1"/>
      <name val="Segoe UI Semibold"/>
      <family val="2"/>
    </font>
    <font>
      <sz val="8"/>
      <color rgb="FF000000"/>
      <name val="Arial"/>
      <family val="2"/>
    </font>
    <font>
      <sz val="8"/>
      <color theme="1"/>
      <name val="Open Sans"/>
      <family val="2"/>
    </font>
    <font>
      <sz val="11"/>
      <color theme="1"/>
      <name val="Aptos Narrow"/>
      <family val="2"/>
      <scheme val="minor"/>
    </font>
    <font>
      <sz val="11"/>
      <color theme="1"/>
      <name val="Open Sans"/>
      <family val="2"/>
    </font>
    <font>
      <sz val="10"/>
      <color theme="1"/>
      <name val="Open Sans"/>
      <family val="2"/>
    </font>
    <font>
      <b/>
      <sz val="11"/>
      <color theme="1"/>
      <name val="Aptos Narrow"/>
      <family val="2"/>
      <scheme val="minor"/>
    </font>
    <font>
      <sz val="8"/>
      <name val="Aptos Narrow"/>
      <family val="2"/>
      <scheme val="minor"/>
    </font>
    <font>
      <b/>
      <sz val="11"/>
      <color theme="1"/>
      <name val="Open Sans"/>
      <family val="2"/>
    </font>
    <font>
      <b/>
      <sz val="9"/>
      <color theme="1"/>
      <name val="Open Sans"/>
      <family val="2"/>
    </font>
    <font>
      <b/>
      <sz val="9"/>
      <color rgb="FFFF0000"/>
      <name val="Open Sans"/>
      <family val="2"/>
    </font>
  </fonts>
  <fills count="10">
    <fill>
      <patternFill patternType="none"/>
    </fill>
    <fill>
      <patternFill patternType="gray125"/>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4">
    <border>
      <left/>
      <right/>
      <top/>
      <bottom/>
      <diagonal/>
    </border>
    <border>
      <left/>
      <right/>
      <top style="medium">
        <color theme="6"/>
      </top>
      <bottom style="medium">
        <color theme="6"/>
      </bottom>
      <diagonal/>
    </border>
    <border>
      <left/>
      <right/>
      <top/>
      <bottom style="thin">
        <color theme="8"/>
      </bottom>
      <diagonal/>
    </border>
    <border>
      <left/>
      <right/>
      <top/>
      <bottom style="thin">
        <color indexed="64"/>
      </bottom>
      <diagonal/>
    </border>
  </borders>
  <cellStyleXfs count="4">
    <xf numFmtId="0" fontId="0" fillId="0" borderId="0"/>
    <xf numFmtId="0" fontId="1" fillId="2" borderId="1" applyNumberFormat="0" applyProtection="0">
      <alignment horizontal="centerContinuous" vertical="center"/>
    </xf>
    <xf numFmtId="0" fontId="3" fillId="3" borderId="2" applyNumberFormat="0" applyAlignment="0">
      <protection locked="0"/>
    </xf>
    <xf numFmtId="0" fontId="4" fillId="3" borderId="0" applyNumberFormat="0" applyFont="0" applyBorder="0" applyAlignment="0" applyProtection="0"/>
  </cellStyleXfs>
  <cellXfs count="40">
    <xf numFmtId="0" fontId="0" fillId="0" borderId="0" xfId="0"/>
    <xf numFmtId="0" fontId="2" fillId="2" borderId="1" xfId="1" applyFont="1">
      <alignment horizontal="centerContinuous" vertical="center"/>
    </xf>
    <xf numFmtId="0" fontId="5" fillId="3" borderId="0" xfId="3" applyFont="1" applyAlignment="1">
      <alignment vertical="center"/>
    </xf>
    <xf numFmtId="0" fontId="8" fillId="0" borderId="0" xfId="0" applyFont="1"/>
    <xf numFmtId="0" fontId="7" fillId="3" borderId="2" xfId="2" applyFont="1" applyAlignment="1" applyProtection="1">
      <alignment horizontal="right" vertical="center"/>
    </xf>
    <xf numFmtId="0" fontId="6" fillId="0" borderId="0" xfId="0" applyFont="1"/>
    <xf numFmtId="0" fontId="7" fillId="3" borderId="2" xfId="2" applyFont="1" applyAlignment="1" applyProtection="1">
      <alignment horizontal="center" vertical="center"/>
    </xf>
    <xf numFmtId="0" fontId="7" fillId="5" borderId="2" xfId="2" applyFont="1" applyFill="1" applyAlignment="1" applyProtection="1">
      <alignment horizontal="center" vertical="center"/>
    </xf>
    <xf numFmtId="0" fontId="5" fillId="3" borderId="0" xfId="3" applyFont="1" applyAlignment="1">
      <alignment horizontal="left" vertical="center"/>
    </xf>
    <xf numFmtId="0" fontId="0" fillId="0" borderId="0" xfId="0" applyAlignment="1">
      <alignment horizontal="left"/>
    </xf>
    <xf numFmtId="0" fontId="5" fillId="3" borderId="0" xfId="3" applyFont="1" applyAlignment="1">
      <alignment horizontal="left"/>
    </xf>
    <xf numFmtId="0" fontId="5" fillId="4" borderId="0" xfId="3" applyFont="1" applyFill="1" applyAlignment="1">
      <alignment horizontal="left" vertical="center"/>
    </xf>
    <xf numFmtId="0" fontId="5" fillId="4" borderId="0" xfId="3" applyFont="1" applyFill="1" applyAlignment="1">
      <alignment horizontal="left"/>
    </xf>
    <xf numFmtId="0" fontId="0" fillId="4" borderId="0" xfId="0" applyFill="1" applyAlignment="1">
      <alignment horizontal="left"/>
    </xf>
    <xf numFmtId="0" fontId="0" fillId="0" borderId="3" xfId="0" applyBorder="1"/>
    <xf numFmtId="0" fontId="9" fillId="0" borderId="0" xfId="0" applyFont="1" applyAlignment="1">
      <alignment horizontal="center" vertical="center" wrapText="1"/>
    </xf>
    <xf numFmtId="0" fontId="0" fillId="0" borderId="0" xfId="0" applyAlignment="1">
      <alignment vertical="center" wrapText="1"/>
    </xf>
    <xf numFmtId="0" fontId="9" fillId="0" borderId="0" xfId="0" applyFont="1" applyAlignment="1">
      <alignment vertical="center"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xf numFmtId="0" fontId="0" fillId="0" borderId="0" xfId="0" applyAlignment="1">
      <alignment horizontal="center"/>
    </xf>
    <xf numFmtId="0" fontId="9" fillId="0" borderId="0" xfId="0" applyFont="1"/>
    <xf numFmtId="0" fontId="11" fillId="3" borderId="2" xfId="2" applyFont="1" applyAlignment="1" applyProtection="1">
      <alignment horizontal="right" vertical="center"/>
    </xf>
    <xf numFmtId="0" fontId="9" fillId="0" borderId="0" xfId="0" applyFont="1" applyAlignment="1">
      <alignment horizontal="left" vertical="center" wrapText="1"/>
    </xf>
    <xf numFmtId="0" fontId="0" fillId="6" borderId="0" xfId="0" applyFill="1"/>
    <xf numFmtId="0" fontId="0" fillId="6" borderId="0" xfId="0" applyFill="1" applyAlignment="1">
      <alignment horizontal="center"/>
    </xf>
    <xf numFmtId="0" fontId="0" fillId="7" borderId="0" xfId="0" applyFill="1"/>
    <xf numFmtId="0" fontId="0" fillId="7" borderId="0" xfId="0" applyFill="1" applyAlignment="1">
      <alignment horizontal="center"/>
    </xf>
    <xf numFmtId="0" fontId="0" fillId="8" borderId="0" xfId="0" applyFill="1"/>
    <xf numFmtId="0" fontId="0" fillId="8" borderId="0" xfId="0" applyFill="1" applyAlignment="1">
      <alignment horizontal="center"/>
    </xf>
    <xf numFmtId="0" fontId="0" fillId="9" borderId="0" xfId="0" applyFill="1"/>
    <xf numFmtId="0" fontId="0" fillId="9" borderId="0" xfId="0" applyFill="1" applyAlignment="1">
      <alignment horizontal="center"/>
    </xf>
    <xf numFmtId="0" fontId="0" fillId="4" borderId="0" xfId="0" applyFill="1"/>
    <xf numFmtId="0" fontId="0" fillId="4" borderId="0" xfId="0" applyFill="1" applyAlignment="1">
      <alignment horizontal="center"/>
    </xf>
    <xf numFmtId="0" fontId="8" fillId="4" borderId="0" xfId="0" applyFont="1" applyFill="1"/>
    <xf numFmtId="0" fontId="9" fillId="0" borderId="3" xfId="0" applyFont="1" applyBorder="1"/>
    <xf numFmtId="0" fontId="12" fillId="3" borderId="2" xfId="2" applyFont="1" applyAlignment="1" applyProtection="1">
      <alignment horizontal="left" vertical="center"/>
    </xf>
    <xf numFmtId="0" fontId="0" fillId="0" borderId="0" xfId="0" applyAlignment="1">
      <alignment vertical="top"/>
    </xf>
    <xf numFmtId="0" fontId="13" fillId="3" borderId="2" xfId="2" applyFont="1" applyAlignment="1" applyProtection="1">
      <alignment horizontal="left" vertical="center"/>
    </xf>
  </cellXfs>
  <cellStyles count="4">
    <cellStyle name="2 WHITE" xfId="3" xr:uid="{EA32F426-055F-48AB-99F3-D7C93D3C7059}"/>
    <cellStyle name="6 HEADER" xfId="1" xr:uid="{A882CCD1-4F59-4A8B-856C-A0D2340F190A}"/>
    <cellStyle name="9 SUBHEADER" xfId="2" xr:uid="{1096BC2F-B530-4C13-A96E-7D6FBF2AB012}"/>
    <cellStyle name="Normal" xfId="0" builtinId="0"/>
  </cellStyles>
  <dxfs count="16">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9E8806-B55F-4F6D-9BFF-7A17AF17AD1F}" name="tblPropertyType" displayName="tblPropertyType" ref="B1:B10" totalsRowShown="0" headerRowDxfId="15" dataDxfId="14" headerRowBorderDxfId="13" headerRowCellStyle="9 SUBHEADER">
  <autoFilter ref="B1:B10" xr:uid="{9A9E8806-B55F-4F6D-9BFF-7A17AF17AD1F}"/>
  <tableColumns count="1">
    <tableColumn id="1" xr3:uid="{6A5A8694-3B63-409E-8ED3-1C7B953CF3BD}" name="ListPropertyType"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AD3165F-CBD8-47CA-9FA4-4205B7C1386E}" name="TableDropdownLists" displayName="TableDropdownLists" ref="A1:A25" totalsRowShown="0" headerRowDxfId="11" dataDxfId="10" headerRowBorderDxfId="9" headerRowCellStyle="9 SUBHEADER">
  <autoFilter ref="A1:A25" xr:uid="{DAD3165F-CBD8-47CA-9FA4-4205B7C1386E}"/>
  <tableColumns count="1">
    <tableColumn id="1" xr3:uid="{F9ACE0E1-2F12-44D8-93D7-60F916839456}" name="DropdownLists" dataDxfId="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C9C9A8-17E8-483F-9532-3FDA9E0A30D9}" name="TblValueTimeFrame" displayName="TblValueTimeFrame" ref="G1:G9" totalsRowShown="0" headerRowDxfId="7" dataDxfId="6" headerRowBorderDxfId="5" headerRowCellStyle="9 SUBHEADER">
  <autoFilter ref="G1:G9" xr:uid="{AFC9C9A8-17E8-483F-9532-3FDA9E0A30D9}"/>
  <tableColumns count="1">
    <tableColumn id="1" xr3:uid="{D78F13C7-35D8-4394-BD7C-7FA3C5FEDC96}" name="ListValueTimeFrame" dataDxfId="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A00F7B-4147-4F49-9649-1E2C59B68B80}" name="tblPropertyType2" displayName="tblPropertyType2" ref="P1:P12" totalsRowShown="0" headerRowDxfId="3" dataDxfId="2" headerRowBorderDxfId="1" headerRowCellStyle="9 SUBHEADER">
  <autoFilter ref="P1:P12" xr:uid="{8DA00F7B-4147-4F49-9649-1E2C59B68B80}"/>
  <tableColumns count="1">
    <tableColumn id="1" xr3:uid="{92109C7B-3ADC-41C0-ACFA-31EA2852AD66}" name="ListClientDocu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1144-4890-471A-8E0E-2C01028E72FB}">
  <dimension ref="C1:Y67"/>
  <sheetViews>
    <sheetView zoomScale="115" zoomScaleNormal="115" workbookViewId="0">
      <pane ySplit="1" topLeftCell="A20" activePane="bottomLeft" state="frozen"/>
      <selection pane="bottomLeft" activeCell="D23" sqref="D23"/>
      <selection activeCell="C1" sqref="C1"/>
    </sheetView>
  </sheetViews>
  <sheetFormatPr defaultRowHeight="14.45"/>
  <cols>
    <col min="3" max="3" width="20.7109375" customWidth="1"/>
    <col min="4" max="4" width="22.140625" customWidth="1"/>
    <col min="5" max="5" width="16.140625" customWidth="1"/>
    <col min="6" max="6" width="12.5703125" customWidth="1"/>
    <col min="7" max="7" width="22" customWidth="1"/>
    <col min="8" max="8" width="8.7109375" customWidth="1"/>
    <col min="9" max="9" width="8.42578125" customWidth="1"/>
    <col min="10" max="10" width="21.28515625" customWidth="1"/>
    <col min="11" max="11" width="16.28515625" customWidth="1"/>
    <col min="12" max="12" width="18.28515625" customWidth="1"/>
    <col min="13" max="13" width="12.7109375" customWidth="1"/>
    <col min="14" max="14" width="19.140625" customWidth="1"/>
    <col min="15" max="15" width="22" customWidth="1"/>
    <col min="16" max="16" width="21.5703125" customWidth="1"/>
    <col min="17" max="17" width="25" customWidth="1"/>
    <col min="18" max="19" width="20.7109375" customWidth="1"/>
    <col min="21" max="21" width="19.28515625" customWidth="1"/>
    <col min="22" max="22" width="24.140625" bestFit="1" customWidth="1"/>
    <col min="23" max="23" width="17.5703125" customWidth="1"/>
    <col min="24" max="24" width="16.42578125" customWidth="1"/>
    <col min="25" max="25" width="17.7109375" bestFit="1" customWidth="1"/>
  </cols>
  <sheetData>
    <row r="1" spans="3:19" s="9" customFormat="1">
      <c r="C1" s="39" t="s">
        <v>0</v>
      </c>
      <c r="D1" s="37" t="s">
        <v>1</v>
      </c>
      <c r="E1" s="37" t="s">
        <v>2</v>
      </c>
      <c r="F1" s="37" t="s">
        <v>3</v>
      </c>
      <c r="G1" s="37" t="s">
        <v>4</v>
      </c>
      <c r="H1" s="37" t="s">
        <v>5</v>
      </c>
      <c r="I1" s="37" t="s">
        <v>6</v>
      </c>
      <c r="J1" s="39" t="s">
        <v>7</v>
      </c>
      <c r="K1" s="37" t="s">
        <v>8</v>
      </c>
      <c r="L1" s="37" t="s">
        <v>9</v>
      </c>
      <c r="M1" s="37" t="s">
        <v>10</v>
      </c>
      <c r="N1" s="39" t="s">
        <v>11</v>
      </c>
      <c r="O1" s="37" t="s">
        <v>12</v>
      </c>
      <c r="P1" s="37" t="s">
        <v>13</v>
      </c>
      <c r="Q1" s="37" t="s">
        <v>14</v>
      </c>
      <c r="R1" s="37" t="s">
        <v>15</v>
      </c>
      <c r="S1" s="37" t="s">
        <v>16</v>
      </c>
    </row>
    <row r="2" spans="3:19" s="9" customFormat="1">
      <c r="C2" s="8" t="s">
        <v>17</v>
      </c>
      <c r="D2" s="8" t="s">
        <v>18</v>
      </c>
      <c r="E2" s="10" t="s">
        <v>19</v>
      </c>
      <c r="F2" s="10" t="s">
        <v>20</v>
      </c>
      <c r="G2" s="10"/>
      <c r="H2" s="10" t="s">
        <v>21</v>
      </c>
      <c r="I2" s="10" t="s">
        <v>22</v>
      </c>
      <c r="J2" s="10"/>
      <c r="K2" s="8" t="s">
        <v>23</v>
      </c>
      <c r="L2" s="8" t="s">
        <v>18</v>
      </c>
      <c r="M2" s="10"/>
      <c r="N2" s="10" t="s">
        <v>24</v>
      </c>
      <c r="O2" s="10"/>
      <c r="P2" s="10"/>
      <c r="Q2" s="8"/>
      <c r="R2" s="8"/>
      <c r="S2" s="8"/>
    </row>
    <row r="3" spans="3:19" s="9" customFormat="1">
      <c r="C3" s="8" t="s">
        <v>25</v>
      </c>
      <c r="D3" s="8" t="s">
        <v>26</v>
      </c>
      <c r="E3" s="10" t="s">
        <v>19</v>
      </c>
      <c r="F3" s="10" t="s">
        <v>27</v>
      </c>
      <c r="G3" s="10"/>
      <c r="H3" s="10" t="s">
        <v>21</v>
      </c>
      <c r="I3" s="10" t="s">
        <v>22</v>
      </c>
      <c r="J3" s="10"/>
      <c r="K3" s="8" t="s">
        <v>28</v>
      </c>
      <c r="L3" s="8" t="s">
        <v>26</v>
      </c>
      <c r="M3" s="10"/>
      <c r="N3" s="10" t="s">
        <v>24</v>
      </c>
      <c r="O3" s="10"/>
      <c r="P3" s="10"/>
      <c r="Q3" s="8"/>
      <c r="R3" s="8"/>
      <c r="S3" s="8"/>
    </row>
    <row r="4" spans="3:19" s="9" customFormat="1">
      <c r="C4" s="8" t="s">
        <v>29</v>
      </c>
      <c r="D4" s="8" t="s">
        <v>30</v>
      </c>
      <c r="E4" s="10" t="s">
        <v>31</v>
      </c>
      <c r="F4" s="10" t="s">
        <v>27</v>
      </c>
      <c r="G4" s="10"/>
      <c r="H4" s="10" t="s">
        <v>21</v>
      </c>
      <c r="I4" s="10" t="s">
        <v>22</v>
      </c>
      <c r="J4" s="10"/>
      <c r="K4" s="8" t="s">
        <v>16</v>
      </c>
      <c r="L4" s="8" t="s">
        <v>16</v>
      </c>
      <c r="M4" s="10"/>
      <c r="N4" s="10" t="s">
        <v>24</v>
      </c>
      <c r="O4" s="10"/>
      <c r="P4" s="10"/>
      <c r="Q4" s="8"/>
      <c r="R4" s="8"/>
      <c r="S4" s="8"/>
    </row>
    <row r="5" spans="3:19" s="9" customFormat="1">
      <c r="C5" s="8" t="s">
        <v>32</v>
      </c>
      <c r="D5" s="8" t="s">
        <v>33</v>
      </c>
      <c r="E5" s="10" t="s">
        <v>19</v>
      </c>
      <c r="F5" s="10" t="s">
        <v>20</v>
      </c>
      <c r="G5" s="10"/>
      <c r="H5" s="10" t="s">
        <v>21</v>
      </c>
      <c r="I5" s="10" t="s">
        <v>22</v>
      </c>
      <c r="J5" s="10"/>
      <c r="K5" s="20" t="s">
        <v>33</v>
      </c>
      <c r="L5" s="8" t="s">
        <v>34</v>
      </c>
      <c r="M5" s="10"/>
      <c r="N5" s="10" t="s">
        <v>24</v>
      </c>
      <c r="O5" s="10"/>
      <c r="P5" s="10"/>
      <c r="Q5" s="8"/>
      <c r="R5" s="8"/>
      <c r="S5" s="8"/>
    </row>
    <row r="6" spans="3:19" s="9" customFormat="1">
      <c r="C6" s="8" t="s">
        <v>35</v>
      </c>
      <c r="D6" s="8" t="s">
        <v>36</v>
      </c>
      <c r="E6" s="10" t="s">
        <v>19</v>
      </c>
      <c r="F6" s="10" t="s">
        <v>27</v>
      </c>
      <c r="G6" s="10"/>
      <c r="H6" s="10" t="s">
        <v>21</v>
      </c>
      <c r="I6" s="10" t="s">
        <v>22</v>
      </c>
      <c r="J6" s="10"/>
      <c r="K6" s="8" t="s">
        <v>37</v>
      </c>
      <c r="L6" s="8" t="s">
        <v>38</v>
      </c>
      <c r="M6" s="10"/>
      <c r="N6" s="10" t="s">
        <v>24</v>
      </c>
      <c r="O6" s="10"/>
      <c r="P6" s="10"/>
      <c r="Q6" s="8"/>
      <c r="R6" s="8"/>
      <c r="S6" s="8"/>
    </row>
    <row r="7" spans="3:19" s="9" customFormat="1">
      <c r="C7" s="8" t="s">
        <v>39</v>
      </c>
      <c r="D7" s="8" t="s">
        <v>40</v>
      </c>
      <c r="E7" s="10" t="s">
        <v>19</v>
      </c>
      <c r="F7" s="10" t="s">
        <v>27</v>
      </c>
      <c r="G7" s="10"/>
      <c r="H7" s="10" t="s">
        <v>21</v>
      </c>
      <c r="I7" s="10" t="s">
        <v>22</v>
      </c>
      <c r="J7" s="10"/>
      <c r="K7" s="8" t="s">
        <v>41</v>
      </c>
      <c r="L7" s="8" t="s">
        <v>41</v>
      </c>
      <c r="M7" s="10"/>
      <c r="N7" s="10" t="s">
        <v>42</v>
      </c>
      <c r="O7" s="10"/>
      <c r="P7" s="10"/>
      <c r="Q7" s="8"/>
      <c r="R7" s="8"/>
      <c r="S7" s="8"/>
    </row>
    <row r="8" spans="3:19" s="9" customFormat="1">
      <c r="C8" s="8" t="s">
        <v>43</v>
      </c>
      <c r="D8" s="8" t="s">
        <v>44</v>
      </c>
      <c r="E8" s="10" t="s">
        <v>45</v>
      </c>
      <c r="F8" s="10" t="s">
        <v>27</v>
      </c>
      <c r="G8" s="10"/>
      <c r="H8" s="10" t="s">
        <v>21</v>
      </c>
      <c r="I8" s="10" t="s">
        <v>22</v>
      </c>
      <c r="J8" s="10"/>
      <c r="K8" s="8" t="s">
        <v>46</v>
      </c>
      <c r="L8" s="8" t="s">
        <v>47</v>
      </c>
      <c r="M8" s="10"/>
      <c r="N8" s="10" t="s">
        <v>42</v>
      </c>
      <c r="O8" s="10"/>
      <c r="P8" s="10"/>
      <c r="Q8" s="8"/>
      <c r="R8" s="8"/>
      <c r="S8" s="8"/>
    </row>
    <row r="9" spans="3:19" s="9" customFormat="1">
      <c r="C9" s="8" t="s">
        <v>48</v>
      </c>
      <c r="D9" s="8" t="s">
        <v>49</v>
      </c>
      <c r="E9" s="10" t="s">
        <v>45</v>
      </c>
      <c r="F9" s="10" t="s">
        <v>27</v>
      </c>
      <c r="G9" s="10"/>
      <c r="H9" s="10" t="s">
        <v>21</v>
      </c>
      <c r="I9" s="10" t="s">
        <v>22</v>
      </c>
      <c r="J9" s="10"/>
      <c r="K9" s="8" t="s">
        <v>50</v>
      </c>
      <c r="L9" s="8" t="s">
        <v>51</v>
      </c>
      <c r="M9" s="10"/>
      <c r="N9" s="10" t="s">
        <v>42</v>
      </c>
      <c r="O9" s="10"/>
      <c r="P9" s="10"/>
      <c r="Q9" s="8"/>
      <c r="R9" s="8"/>
      <c r="S9" s="8"/>
    </row>
    <row r="10" spans="3:19" s="9" customFormat="1">
      <c r="C10" s="8" t="s">
        <v>52</v>
      </c>
      <c r="D10" s="8" t="s">
        <v>53</v>
      </c>
      <c r="E10" s="10" t="s">
        <v>45</v>
      </c>
      <c r="F10" s="10" t="s">
        <v>27</v>
      </c>
      <c r="G10" s="10"/>
      <c r="H10" s="10" t="s">
        <v>21</v>
      </c>
      <c r="I10" s="10" t="s">
        <v>22</v>
      </c>
      <c r="J10" s="10"/>
      <c r="K10" s="8" t="s">
        <v>54</v>
      </c>
      <c r="L10" s="8" t="s">
        <v>54</v>
      </c>
      <c r="M10" s="10"/>
      <c r="N10" s="10" t="s">
        <v>42</v>
      </c>
      <c r="O10" s="10"/>
      <c r="P10" s="10"/>
      <c r="Q10" s="8"/>
      <c r="R10" s="8"/>
      <c r="S10" s="8"/>
    </row>
    <row r="11" spans="3:19" s="9" customFormat="1">
      <c r="C11" s="8" t="s">
        <v>55</v>
      </c>
      <c r="D11" s="8" t="s">
        <v>56</v>
      </c>
      <c r="E11" s="10" t="s">
        <v>45</v>
      </c>
      <c r="F11" s="10" t="s">
        <v>27</v>
      </c>
      <c r="G11" s="10"/>
      <c r="H11" s="10" t="s">
        <v>21</v>
      </c>
      <c r="I11" s="10" t="s">
        <v>22</v>
      </c>
      <c r="J11" s="10"/>
      <c r="K11" s="8" t="s">
        <v>57</v>
      </c>
      <c r="L11" s="8" t="s">
        <v>58</v>
      </c>
      <c r="M11" s="10"/>
      <c r="N11" s="10" t="s">
        <v>42</v>
      </c>
      <c r="O11" s="10"/>
      <c r="P11" s="10"/>
      <c r="Q11" s="8"/>
      <c r="R11" s="8"/>
      <c r="S11" s="8"/>
    </row>
    <row r="12" spans="3:19" s="9" customFormat="1">
      <c r="C12" s="8" t="s">
        <v>59</v>
      </c>
      <c r="D12" s="8" t="s">
        <v>60</v>
      </c>
      <c r="E12" s="10" t="s">
        <v>45</v>
      </c>
      <c r="F12" s="10" t="s">
        <v>27</v>
      </c>
      <c r="G12" s="10"/>
      <c r="H12" s="10" t="s">
        <v>21</v>
      </c>
      <c r="I12" s="10" t="s">
        <v>22</v>
      </c>
      <c r="J12" s="10"/>
      <c r="K12" s="8" t="s">
        <v>61</v>
      </c>
      <c r="L12" s="8" t="s">
        <v>61</v>
      </c>
      <c r="M12" s="10"/>
      <c r="N12" s="10" t="s">
        <v>42</v>
      </c>
      <c r="O12" s="10"/>
      <c r="P12" s="10"/>
      <c r="Q12" s="8"/>
      <c r="R12" s="8"/>
      <c r="S12" s="8"/>
    </row>
    <row r="13" spans="3:19" s="9" customFormat="1">
      <c r="C13" s="8" t="s">
        <v>62</v>
      </c>
      <c r="D13" s="8" t="s">
        <v>63</v>
      </c>
      <c r="E13" s="10" t="s">
        <v>19</v>
      </c>
      <c r="F13" s="10" t="s">
        <v>27</v>
      </c>
      <c r="G13" s="10"/>
      <c r="H13" s="10" t="s">
        <v>21</v>
      </c>
      <c r="I13" s="10" t="s">
        <v>22</v>
      </c>
      <c r="J13" s="10"/>
      <c r="K13" s="8" t="s">
        <v>28</v>
      </c>
      <c r="L13" s="8" t="s">
        <v>28</v>
      </c>
      <c r="M13" s="10"/>
      <c r="N13" s="10" t="s">
        <v>64</v>
      </c>
      <c r="O13" s="10"/>
      <c r="P13" s="10"/>
      <c r="Q13" s="8"/>
      <c r="R13" s="8"/>
      <c r="S13" s="8"/>
    </row>
    <row r="14" spans="3:19" s="9" customFormat="1">
      <c r="C14" s="8" t="s">
        <v>65</v>
      </c>
      <c r="D14" s="8" t="s">
        <v>66</v>
      </c>
      <c r="E14" s="10" t="s">
        <v>19</v>
      </c>
      <c r="F14" s="10" t="s">
        <v>27</v>
      </c>
      <c r="G14" s="10"/>
      <c r="H14" s="10" t="s">
        <v>21</v>
      </c>
      <c r="I14" s="10" t="s">
        <v>22</v>
      </c>
      <c r="J14" s="10"/>
      <c r="K14" s="8" t="s">
        <v>67</v>
      </c>
      <c r="L14" s="8" t="s">
        <v>68</v>
      </c>
      <c r="M14" s="10"/>
      <c r="N14" s="10" t="s">
        <v>64</v>
      </c>
      <c r="O14" s="10"/>
      <c r="P14" s="10"/>
      <c r="Q14" s="8"/>
      <c r="R14" s="8"/>
      <c r="S14" s="8"/>
    </row>
    <row r="15" spans="3:19" s="9" customFormat="1">
      <c r="C15" s="8" t="s">
        <v>69</v>
      </c>
      <c r="D15" s="8" t="s">
        <v>70</v>
      </c>
      <c r="E15" s="10" t="s">
        <v>31</v>
      </c>
      <c r="F15" s="10" t="s">
        <v>27</v>
      </c>
      <c r="G15" s="10" t="s">
        <v>71</v>
      </c>
      <c r="H15" s="10" t="s">
        <v>21</v>
      </c>
      <c r="I15" s="10" t="s">
        <v>22</v>
      </c>
      <c r="J15" s="10"/>
      <c r="K15" s="8" t="s">
        <v>70</v>
      </c>
      <c r="L15" s="8" t="s">
        <v>72</v>
      </c>
      <c r="M15" s="10"/>
      <c r="N15" s="10" t="s">
        <v>64</v>
      </c>
      <c r="O15" s="10"/>
      <c r="P15" s="10"/>
      <c r="Q15" s="8"/>
      <c r="R15" s="8"/>
      <c r="S15" s="8"/>
    </row>
    <row r="16" spans="3:19" s="9" customFormat="1">
      <c r="C16" s="8" t="s">
        <v>73</v>
      </c>
      <c r="D16" s="8" t="s">
        <v>74</v>
      </c>
      <c r="E16" s="10" t="s">
        <v>31</v>
      </c>
      <c r="F16" s="10" t="s">
        <v>27</v>
      </c>
      <c r="G16" s="10" t="s">
        <v>75</v>
      </c>
      <c r="H16" s="10" t="s">
        <v>22</v>
      </c>
      <c r="I16" s="10" t="s">
        <v>22</v>
      </c>
      <c r="J16" s="10"/>
      <c r="K16" s="8" t="s">
        <v>76</v>
      </c>
      <c r="L16" s="8" t="s">
        <v>77</v>
      </c>
      <c r="M16" s="10"/>
      <c r="N16" s="10" t="s">
        <v>64</v>
      </c>
      <c r="O16" s="10"/>
      <c r="P16" s="10"/>
      <c r="Q16" s="8"/>
      <c r="R16" s="8"/>
      <c r="S16" s="8"/>
    </row>
    <row r="17" spans="3:19" s="9" customFormat="1">
      <c r="C17" s="8" t="s">
        <v>78</v>
      </c>
      <c r="D17" s="8" t="s">
        <v>78</v>
      </c>
      <c r="E17" s="10" t="s">
        <v>31</v>
      </c>
      <c r="F17" s="10" t="s">
        <v>27</v>
      </c>
      <c r="G17" s="10" t="s">
        <v>79</v>
      </c>
      <c r="H17" s="10" t="s">
        <v>22</v>
      </c>
      <c r="I17" s="10" t="s">
        <v>22</v>
      </c>
      <c r="J17" s="10"/>
      <c r="K17" s="8"/>
      <c r="L17" s="8"/>
      <c r="M17" s="10"/>
      <c r="N17" s="10" t="s">
        <v>24</v>
      </c>
      <c r="O17" s="10"/>
      <c r="P17" s="10"/>
      <c r="Q17" s="8"/>
      <c r="R17" s="8"/>
      <c r="S17" s="8"/>
    </row>
    <row r="18" spans="3:19" s="9" customFormat="1">
      <c r="C18" s="8" t="s">
        <v>80</v>
      </c>
      <c r="D18" s="8" t="s">
        <v>81</v>
      </c>
      <c r="E18" s="10" t="s">
        <v>31</v>
      </c>
      <c r="F18" s="10" t="s">
        <v>82</v>
      </c>
      <c r="G18" s="10" t="s">
        <v>83</v>
      </c>
      <c r="H18" s="10" t="s">
        <v>22</v>
      </c>
      <c r="I18" s="10" t="s">
        <v>22</v>
      </c>
      <c r="J18" s="10"/>
      <c r="K18" s="8"/>
      <c r="L18" s="8"/>
      <c r="M18" s="10"/>
      <c r="N18" s="10" t="s">
        <v>24</v>
      </c>
      <c r="O18" s="10"/>
      <c r="P18" s="10"/>
      <c r="Q18" s="8"/>
      <c r="R18" s="8"/>
      <c r="S18" s="8"/>
    </row>
    <row r="19" spans="3:19" s="9" customFormat="1">
      <c r="C19" s="8" t="s">
        <v>84</v>
      </c>
      <c r="D19" s="8" t="s">
        <v>85</v>
      </c>
      <c r="E19" s="10" t="s">
        <v>31</v>
      </c>
      <c r="F19" s="10" t="s">
        <v>27</v>
      </c>
      <c r="G19" s="10" t="s">
        <v>86</v>
      </c>
      <c r="H19" s="10" t="s">
        <v>22</v>
      </c>
      <c r="I19" s="10" t="s">
        <v>22</v>
      </c>
      <c r="J19" s="10"/>
      <c r="K19" s="8"/>
      <c r="L19" s="8"/>
      <c r="M19" s="10"/>
      <c r="N19" s="10" t="s">
        <v>24</v>
      </c>
      <c r="O19" s="10"/>
      <c r="P19" s="10"/>
      <c r="Q19" s="8"/>
      <c r="R19" s="8"/>
      <c r="S19" s="8"/>
    </row>
    <row r="20" spans="3:19" s="9" customFormat="1">
      <c r="C20" s="8" t="s">
        <v>87</v>
      </c>
      <c r="D20" s="8" t="s">
        <v>88</v>
      </c>
      <c r="E20" s="10" t="s">
        <v>89</v>
      </c>
      <c r="F20" s="10" t="s">
        <v>27</v>
      </c>
      <c r="G20" s="10" t="s">
        <v>90</v>
      </c>
      <c r="H20" s="10" t="s">
        <v>22</v>
      </c>
      <c r="I20" s="10" t="s">
        <v>22</v>
      </c>
      <c r="J20" s="10"/>
      <c r="K20" s="8"/>
      <c r="L20" s="8"/>
      <c r="M20" s="10"/>
      <c r="N20" s="10" t="s">
        <v>24</v>
      </c>
      <c r="O20" s="10"/>
      <c r="P20" s="10"/>
      <c r="Q20" s="8"/>
      <c r="R20" s="8"/>
      <c r="S20" s="8"/>
    </row>
    <row r="21" spans="3:19" s="9" customFormat="1">
      <c r="C21" s="8" t="s">
        <v>91</v>
      </c>
      <c r="D21" s="8" t="s">
        <v>92</v>
      </c>
      <c r="E21" s="10" t="s">
        <v>31</v>
      </c>
      <c r="F21" s="10" t="s">
        <v>27</v>
      </c>
      <c r="G21" s="10" t="s">
        <v>93</v>
      </c>
      <c r="H21" s="10" t="s">
        <v>22</v>
      </c>
      <c r="I21" s="10" t="s">
        <v>22</v>
      </c>
      <c r="J21" s="10"/>
      <c r="K21" s="8"/>
      <c r="L21" s="8"/>
      <c r="M21" s="10"/>
      <c r="N21" s="10" t="s">
        <v>24</v>
      </c>
      <c r="O21" s="10"/>
      <c r="P21" s="10"/>
      <c r="Q21" s="8"/>
      <c r="R21" s="8"/>
      <c r="S21" s="8"/>
    </row>
    <row r="22" spans="3:19" s="13" customFormat="1">
      <c r="C22" s="11" t="s">
        <v>94</v>
      </c>
      <c r="D22" s="11" t="s">
        <v>95</v>
      </c>
      <c r="E22" s="12" t="s">
        <v>89</v>
      </c>
      <c r="F22" s="10" t="s">
        <v>27</v>
      </c>
      <c r="G22" s="10" t="s">
        <v>96</v>
      </c>
      <c r="H22" s="10" t="s">
        <v>22</v>
      </c>
      <c r="I22" s="10" t="s">
        <v>22</v>
      </c>
      <c r="J22" s="10"/>
      <c r="K22" s="11"/>
      <c r="L22" s="11"/>
      <c r="M22" s="12"/>
      <c r="N22" s="10" t="s">
        <v>24</v>
      </c>
      <c r="O22" s="12"/>
      <c r="P22" s="10"/>
      <c r="Q22" s="11"/>
      <c r="R22" s="11"/>
      <c r="S22" s="11"/>
    </row>
    <row r="23" spans="3:19" s="9" customFormat="1">
      <c r="C23" s="8" t="s">
        <v>97</v>
      </c>
      <c r="D23" s="8" t="s">
        <v>98</v>
      </c>
      <c r="E23" s="10" t="s">
        <v>89</v>
      </c>
      <c r="F23" s="10" t="s">
        <v>82</v>
      </c>
      <c r="G23" s="10" t="s">
        <v>99</v>
      </c>
      <c r="H23" s="10" t="s">
        <v>22</v>
      </c>
      <c r="I23" s="10" t="s">
        <v>22</v>
      </c>
      <c r="J23" s="10"/>
      <c r="K23" s="8"/>
      <c r="L23" s="8"/>
      <c r="M23" s="10"/>
      <c r="N23" s="10" t="s">
        <v>24</v>
      </c>
      <c r="O23" s="10"/>
      <c r="P23" s="10"/>
      <c r="Q23" s="8"/>
      <c r="R23" s="8"/>
      <c r="S23" s="8"/>
    </row>
    <row r="24" spans="3:19" s="9" customFormat="1">
      <c r="C24" s="8" t="s">
        <v>100</v>
      </c>
      <c r="D24" s="8" t="s">
        <v>101</v>
      </c>
      <c r="E24" s="10" t="s">
        <v>31</v>
      </c>
      <c r="F24" s="10" t="s">
        <v>27</v>
      </c>
      <c r="G24" s="10" t="s">
        <v>102</v>
      </c>
      <c r="H24" s="10" t="s">
        <v>21</v>
      </c>
      <c r="I24" s="10" t="s">
        <v>22</v>
      </c>
      <c r="J24" s="10"/>
      <c r="K24" s="8"/>
      <c r="L24" s="8"/>
      <c r="M24" s="10"/>
      <c r="N24" s="10" t="s">
        <v>24</v>
      </c>
      <c r="O24" s="10"/>
      <c r="P24" s="10"/>
      <c r="Q24" s="8"/>
      <c r="R24" s="8"/>
      <c r="S24" s="8"/>
    </row>
    <row r="25" spans="3:19" s="9" customFormat="1">
      <c r="C25" s="8" t="s">
        <v>103</v>
      </c>
      <c r="D25" s="8" t="s">
        <v>104</v>
      </c>
      <c r="E25" s="10" t="s">
        <v>31</v>
      </c>
      <c r="F25" s="10" t="s">
        <v>27</v>
      </c>
      <c r="G25" s="10" t="s">
        <v>105</v>
      </c>
      <c r="H25" s="10" t="s">
        <v>22</v>
      </c>
      <c r="I25" s="10" t="s">
        <v>22</v>
      </c>
      <c r="J25" s="10"/>
      <c r="K25" s="8"/>
      <c r="L25" s="8"/>
      <c r="M25" s="10"/>
      <c r="N25" s="10" t="s">
        <v>24</v>
      </c>
      <c r="O25" s="10"/>
      <c r="P25" s="10"/>
      <c r="Q25" s="8"/>
      <c r="R25" s="8"/>
      <c r="S25" s="8"/>
    </row>
    <row r="26" spans="3:19" s="9" customFormat="1">
      <c r="C26" s="8" t="s">
        <v>106</v>
      </c>
      <c r="D26" s="8" t="s">
        <v>107</v>
      </c>
      <c r="E26" s="10" t="s">
        <v>31</v>
      </c>
      <c r="F26" s="10" t="s">
        <v>27</v>
      </c>
      <c r="G26" s="10" t="s">
        <v>108</v>
      </c>
      <c r="H26" s="10" t="s">
        <v>22</v>
      </c>
      <c r="I26" s="10" t="s">
        <v>22</v>
      </c>
      <c r="J26" s="10"/>
      <c r="K26" s="8"/>
      <c r="L26" s="8"/>
      <c r="M26" s="10"/>
      <c r="N26" s="10" t="s">
        <v>24</v>
      </c>
      <c r="O26" s="10"/>
      <c r="P26" s="10"/>
      <c r="Q26" s="8"/>
      <c r="R26" s="8"/>
      <c r="S26" s="8"/>
    </row>
    <row r="27" spans="3:19" s="9" customFormat="1">
      <c r="C27" s="8" t="s">
        <v>109</v>
      </c>
      <c r="D27" s="8" t="s">
        <v>110</v>
      </c>
      <c r="E27" s="10" t="s">
        <v>31</v>
      </c>
      <c r="F27" s="10" t="s">
        <v>27</v>
      </c>
      <c r="G27" s="10" t="s">
        <v>111</v>
      </c>
      <c r="H27" s="10" t="s">
        <v>22</v>
      </c>
      <c r="I27" s="10" t="s">
        <v>22</v>
      </c>
      <c r="J27" s="10"/>
      <c r="K27" s="8"/>
      <c r="L27" s="8"/>
      <c r="M27" s="10"/>
      <c r="N27" s="10" t="s">
        <v>24</v>
      </c>
      <c r="O27" s="10"/>
      <c r="P27" s="10"/>
      <c r="Q27" s="8"/>
      <c r="R27" s="8"/>
      <c r="S27" s="8"/>
    </row>
    <row r="28" spans="3:19" s="9" customFormat="1">
      <c r="C28" s="8" t="s">
        <v>112</v>
      </c>
      <c r="D28" s="8" t="s">
        <v>113</v>
      </c>
      <c r="E28" s="10" t="s">
        <v>114</v>
      </c>
      <c r="F28" s="10" t="s">
        <v>27</v>
      </c>
      <c r="G28" s="10"/>
      <c r="H28" s="10" t="s">
        <v>21</v>
      </c>
      <c r="I28" s="10" t="s">
        <v>22</v>
      </c>
      <c r="J28" s="10"/>
      <c r="K28" s="8" t="s">
        <v>112</v>
      </c>
      <c r="L28" s="8" t="s">
        <v>113</v>
      </c>
      <c r="M28" s="10"/>
      <c r="N28" s="10" t="s">
        <v>24</v>
      </c>
      <c r="O28" s="10"/>
      <c r="P28" s="10"/>
      <c r="Q28" s="8"/>
      <c r="R28" s="8"/>
      <c r="S28" s="8"/>
    </row>
    <row r="29" spans="3:19" s="9" customFormat="1">
      <c r="C29" s="8" t="s">
        <v>115</v>
      </c>
      <c r="D29" s="8" t="s">
        <v>115</v>
      </c>
      <c r="E29" s="10" t="s">
        <v>116</v>
      </c>
      <c r="F29" s="10" t="s">
        <v>117</v>
      </c>
      <c r="G29" s="10"/>
      <c r="H29" s="10" t="s">
        <v>21</v>
      </c>
      <c r="I29" s="10" t="s">
        <v>22</v>
      </c>
      <c r="J29" s="10"/>
      <c r="K29" s="8" t="s">
        <v>115</v>
      </c>
      <c r="L29" s="8" t="s">
        <v>115</v>
      </c>
      <c r="M29" s="10"/>
      <c r="N29" s="10" t="s">
        <v>24</v>
      </c>
      <c r="O29" s="10"/>
      <c r="P29" s="10"/>
      <c r="Q29" s="8"/>
      <c r="R29" s="8"/>
      <c r="S29" s="8"/>
    </row>
    <row r="30" spans="3:19" s="9" customFormat="1">
      <c r="C30" s="8" t="s">
        <v>118</v>
      </c>
      <c r="D30" s="8" t="s">
        <v>119</v>
      </c>
      <c r="E30" s="10" t="s">
        <v>116</v>
      </c>
      <c r="F30" s="10" t="s">
        <v>27</v>
      </c>
      <c r="G30" s="10"/>
      <c r="H30" s="10" t="s">
        <v>22</v>
      </c>
      <c r="I30" s="10" t="s">
        <v>21</v>
      </c>
      <c r="J30" s="10"/>
      <c r="K30" s="8"/>
      <c r="L30" s="8"/>
      <c r="M30" s="10"/>
      <c r="N30" s="10"/>
      <c r="O30" s="10"/>
      <c r="P30" s="10"/>
      <c r="Q30" s="8"/>
      <c r="R30" s="8"/>
      <c r="S30" s="8"/>
    </row>
    <row r="31" spans="3:19" s="9" customFormat="1">
      <c r="C31" s="8" t="s">
        <v>120</v>
      </c>
      <c r="D31" s="8" t="s">
        <v>121</v>
      </c>
      <c r="E31" s="10" t="s">
        <v>114</v>
      </c>
      <c r="F31" s="10" t="s">
        <v>82</v>
      </c>
      <c r="G31" s="10"/>
      <c r="H31" s="10" t="s">
        <v>21</v>
      </c>
      <c r="I31" s="10" t="s">
        <v>21</v>
      </c>
      <c r="J31" s="10"/>
      <c r="K31" s="8" t="s">
        <v>120</v>
      </c>
      <c r="L31" s="8" t="s">
        <v>121</v>
      </c>
      <c r="M31" s="10"/>
      <c r="N31" s="10" t="s">
        <v>24</v>
      </c>
      <c r="O31" s="10"/>
      <c r="P31" s="10"/>
      <c r="Q31" s="8"/>
      <c r="R31" s="8"/>
      <c r="S31" s="8"/>
    </row>
    <row r="32" spans="3:19" s="9" customFormat="1">
      <c r="C32" s="8" t="s">
        <v>122</v>
      </c>
      <c r="D32" s="8" t="s">
        <v>123</v>
      </c>
      <c r="E32" s="10" t="s">
        <v>124</v>
      </c>
      <c r="F32" s="10" t="s">
        <v>82</v>
      </c>
      <c r="G32" s="10"/>
      <c r="H32" s="10" t="s">
        <v>21</v>
      </c>
      <c r="I32" s="10" t="s">
        <v>21</v>
      </c>
      <c r="J32" s="10"/>
      <c r="K32" s="8"/>
      <c r="L32" s="8"/>
      <c r="M32" s="10"/>
      <c r="N32" s="10"/>
      <c r="O32" s="10"/>
      <c r="P32" s="10"/>
      <c r="Q32" s="8"/>
      <c r="R32" s="8"/>
      <c r="S32" s="8"/>
    </row>
    <row r="33" spans="3:22" s="9" customFormat="1">
      <c r="C33" s="8" t="s">
        <v>125</v>
      </c>
      <c r="D33" s="8" t="s">
        <v>126</v>
      </c>
      <c r="E33" s="10" t="s">
        <v>114</v>
      </c>
      <c r="F33" s="10" t="s">
        <v>82</v>
      </c>
      <c r="G33" s="10"/>
      <c r="H33" s="10" t="s">
        <v>21</v>
      </c>
      <c r="I33" s="10" t="s">
        <v>21</v>
      </c>
      <c r="J33" s="10"/>
      <c r="K33" s="8" t="s">
        <v>127</v>
      </c>
      <c r="L33" s="8" t="s">
        <v>128</v>
      </c>
      <c r="M33" s="10"/>
      <c r="N33" s="10" t="s">
        <v>24</v>
      </c>
      <c r="O33" s="10"/>
      <c r="P33" s="10"/>
      <c r="Q33" s="8"/>
      <c r="R33" s="8"/>
      <c r="S33" s="8"/>
    </row>
    <row r="34" spans="3:22" s="9" customFormat="1">
      <c r="C34" s="8" t="s">
        <v>129</v>
      </c>
      <c r="D34" s="8" t="s">
        <v>130</v>
      </c>
      <c r="E34" s="10" t="s">
        <v>114</v>
      </c>
      <c r="F34" s="10" t="s">
        <v>82</v>
      </c>
      <c r="G34" s="10"/>
      <c r="H34" s="10" t="s">
        <v>21</v>
      </c>
      <c r="I34" s="10" t="s">
        <v>21</v>
      </c>
      <c r="J34" s="10"/>
      <c r="K34" s="8" t="s">
        <v>131</v>
      </c>
      <c r="L34" s="8" t="s">
        <v>132</v>
      </c>
      <c r="M34" s="10"/>
      <c r="N34" s="10" t="s">
        <v>24</v>
      </c>
      <c r="O34" s="10"/>
      <c r="P34" s="10"/>
      <c r="Q34" s="8"/>
      <c r="R34" s="8"/>
      <c r="S34" s="8"/>
    </row>
    <row r="35" spans="3:22" s="9" customFormat="1">
      <c r="C35" s="8" t="s">
        <v>133</v>
      </c>
      <c r="D35" s="8" t="s">
        <v>134</v>
      </c>
      <c r="E35" s="10" t="s">
        <v>114</v>
      </c>
      <c r="F35" s="10" t="s">
        <v>82</v>
      </c>
      <c r="G35" s="10"/>
      <c r="H35" s="10" t="s">
        <v>21</v>
      </c>
      <c r="I35" s="10" t="s">
        <v>21</v>
      </c>
      <c r="J35" s="10"/>
      <c r="K35" s="8" t="s">
        <v>133</v>
      </c>
      <c r="L35" s="8" t="s">
        <v>134</v>
      </c>
      <c r="M35" s="10"/>
      <c r="N35" s="10" t="s">
        <v>24</v>
      </c>
      <c r="O35" s="10"/>
      <c r="P35" s="10"/>
      <c r="Q35" s="8"/>
      <c r="R35" s="8"/>
      <c r="S35" s="8"/>
    </row>
    <row r="36" spans="3:22" s="9" customFormat="1">
      <c r="C36" s="8" t="s">
        <v>135</v>
      </c>
      <c r="D36" s="8" t="s">
        <v>136</v>
      </c>
      <c r="E36" s="10" t="s">
        <v>137</v>
      </c>
      <c r="F36" s="10" t="s">
        <v>82</v>
      </c>
      <c r="G36" s="10"/>
      <c r="H36" s="10" t="s">
        <v>21</v>
      </c>
      <c r="I36" s="10" t="s">
        <v>21</v>
      </c>
      <c r="J36" s="10"/>
      <c r="K36" s="8" t="s">
        <v>135</v>
      </c>
      <c r="L36" s="8" t="s">
        <v>136</v>
      </c>
      <c r="M36" s="10"/>
      <c r="N36" s="10" t="s">
        <v>24</v>
      </c>
      <c r="O36" s="10"/>
      <c r="P36" s="10"/>
      <c r="Q36" s="8"/>
      <c r="R36" s="8"/>
      <c r="S36" s="8"/>
    </row>
    <row r="37" spans="3:22" s="9" customFormat="1">
      <c r="C37" s="8" t="s">
        <v>138</v>
      </c>
      <c r="D37" s="8" t="s">
        <v>139</v>
      </c>
      <c r="E37" s="10" t="s">
        <v>89</v>
      </c>
      <c r="F37" s="10" t="s">
        <v>82</v>
      </c>
      <c r="G37" s="10" t="s">
        <v>140</v>
      </c>
      <c r="H37" s="10" t="s">
        <v>22</v>
      </c>
      <c r="I37" s="10" t="s">
        <v>22</v>
      </c>
      <c r="J37" s="10"/>
      <c r="K37" s="8"/>
      <c r="L37" s="8"/>
      <c r="M37" s="10"/>
      <c r="N37" s="10"/>
      <c r="O37" s="10"/>
      <c r="P37" s="10"/>
      <c r="Q37" s="8"/>
      <c r="R37" s="8"/>
      <c r="S37" s="8"/>
    </row>
    <row r="38" spans="3:22" s="9" customFormat="1">
      <c r="C38" s="8" t="s">
        <v>141</v>
      </c>
      <c r="D38" s="8" t="s">
        <v>142</v>
      </c>
      <c r="E38" s="10" t="s">
        <v>89</v>
      </c>
      <c r="F38" s="10" t="s">
        <v>27</v>
      </c>
      <c r="G38" s="10" t="s">
        <v>143</v>
      </c>
      <c r="H38" s="10" t="s">
        <v>22</v>
      </c>
      <c r="I38" s="10" t="s">
        <v>22</v>
      </c>
      <c r="J38" s="10"/>
      <c r="K38" s="8"/>
      <c r="L38" s="8"/>
      <c r="M38" s="10"/>
      <c r="N38" s="10" t="s">
        <v>24</v>
      </c>
      <c r="O38" s="10"/>
      <c r="P38" s="10"/>
      <c r="Q38" s="8"/>
      <c r="R38" s="8"/>
      <c r="S38" s="8"/>
    </row>
    <row r="39" spans="3:22" s="9" customFormat="1">
      <c r="C39" s="8" t="s">
        <v>144</v>
      </c>
      <c r="D39" s="8" t="s">
        <v>145</v>
      </c>
      <c r="E39" s="10" t="s">
        <v>31</v>
      </c>
      <c r="F39" s="10" t="s">
        <v>27</v>
      </c>
      <c r="G39" s="10" t="s">
        <v>146</v>
      </c>
      <c r="H39" s="10" t="s">
        <v>22</v>
      </c>
      <c r="I39" s="10" t="s">
        <v>22</v>
      </c>
      <c r="J39" s="10"/>
      <c r="K39" s="8"/>
      <c r="L39" s="8"/>
      <c r="M39" s="10"/>
      <c r="N39" s="10" t="s">
        <v>24</v>
      </c>
      <c r="O39" s="10"/>
      <c r="P39" s="10"/>
      <c r="Q39" s="8"/>
      <c r="R39" s="8"/>
      <c r="S39" s="8"/>
    </row>
    <row r="40" spans="3:22" s="9" customFormat="1">
      <c r="C40" s="8" t="s">
        <v>147</v>
      </c>
      <c r="D40" s="8" t="s">
        <v>148</v>
      </c>
      <c r="E40" s="10" t="s">
        <v>31</v>
      </c>
      <c r="F40" s="10" t="s">
        <v>27</v>
      </c>
      <c r="G40" s="10" t="s">
        <v>149</v>
      </c>
      <c r="H40" s="10" t="s">
        <v>22</v>
      </c>
      <c r="I40" s="10" t="s">
        <v>22</v>
      </c>
      <c r="J40" s="10"/>
      <c r="K40" s="8"/>
      <c r="L40" s="8"/>
      <c r="M40" s="10"/>
      <c r="N40" s="10" t="s">
        <v>24</v>
      </c>
      <c r="O40" s="10"/>
      <c r="P40" s="10"/>
      <c r="Q40" s="8"/>
      <c r="R40" s="8"/>
      <c r="S40" s="8"/>
    </row>
    <row r="41" spans="3:22" s="9" customFormat="1">
      <c r="C41" s="8" t="s">
        <v>150</v>
      </c>
      <c r="D41" s="8" t="s">
        <v>151</v>
      </c>
      <c r="E41" s="10" t="s">
        <v>31</v>
      </c>
      <c r="F41" s="10" t="s">
        <v>27</v>
      </c>
      <c r="G41" s="10" t="s">
        <v>108</v>
      </c>
      <c r="H41" s="10" t="s">
        <v>22</v>
      </c>
      <c r="I41" s="10" t="s">
        <v>22</v>
      </c>
      <c r="J41" s="10"/>
      <c r="K41" s="8"/>
      <c r="L41" s="8"/>
      <c r="M41" s="10"/>
      <c r="N41" s="10"/>
      <c r="O41" s="10"/>
      <c r="P41" s="10"/>
      <c r="Q41" s="8"/>
      <c r="R41" s="8"/>
      <c r="S41" s="8"/>
    </row>
    <row r="42" spans="3:22" s="9" customFormat="1">
      <c r="C42" s="8" t="s">
        <v>152</v>
      </c>
      <c r="D42" s="8" t="s">
        <v>153</v>
      </c>
      <c r="E42" s="10" t="s">
        <v>154</v>
      </c>
      <c r="F42" s="10" t="s">
        <v>82</v>
      </c>
      <c r="G42" s="10"/>
      <c r="H42" s="10" t="s">
        <v>22</v>
      </c>
      <c r="I42" s="10" t="s">
        <v>21</v>
      </c>
      <c r="J42" s="10"/>
      <c r="K42" s="8"/>
      <c r="L42" s="8"/>
      <c r="M42" s="10"/>
      <c r="N42" s="10"/>
      <c r="O42" s="10"/>
      <c r="P42" s="10"/>
      <c r="Q42" s="8"/>
      <c r="R42" s="8"/>
      <c r="S42" s="8"/>
    </row>
    <row r="43" spans="3:22" s="9" customFormat="1">
      <c r="C43" s="8" t="s">
        <v>152</v>
      </c>
      <c r="D43" s="8" t="s">
        <v>155</v>
      </c>
      <c r="E43" s="10" t="s">
        <v>154</v>
      </c>
      <c r="F43" s="10" t="s">
        <v>82</v>
      </c>
      <c r="G43" s="10"/>
      <c r="H43" s="10" t="s">
        <v>22</v>
      </c>
      <c r="I43" s="10" t="s">
        <v>21</v>
      </c>
      <c r="J43" s="10"/>
      <c r="K43" s="8"/>
      <c r="L43" s="8"/>
      <c r="M43" s="10"/>
      <c r="N43" s="10"/>
      <c r="O43" s="10"/>
      <c r="P43" s="10"/>
      <c r="Q43" s="8"/>
      <c r="R43" s="8"/>
      <c r="S43" s="8"/>
      <c r="V43" s="9" t="str">
        <f>+E1</f>
        <v>Data Control Type</v>
      </c>
    </row>
    <row r="44" spans="3:22" s="9" customFormat="1">
      <c r="C44" s="8" t="s">
        <v>152</v>
      </c>
      <c r="D44" s="8" t="s">
        <v>156</v>
      </c>
      <c r="E44" s="10" t="s">
        <v>154</v>
      </c>
      <c r="F44" s="10" t="s">
        <v>82</v>
      </c>
      <c r="G44" s="10"/>
      <c r="H44" s="10" t="s">
        <v>22</v>
      </c>
      <c r="I44" s="10" t="s">
        <v>21</v>
      </c>
      <c r="J44" s="10"/>
      <c r="K44" s="8"/>
      <c r="L44" s="8"/>
      <c r="M44" s="10"/>
      <c r="N44" s="10"/>
      <c r="O44" s="10"/>
      <c r="P44" s="10"/>
      <c r="Q44" s="8"/>
      <c r="R44" s="8"/>
      <c r="S44" s="8"/>
      <c r="V44" s="9" t="s">
        <v>24</v>
      </c>
    </row>
    <row r="45" spans="3:22" s="9" customFormat="1">
      <c r="C45" s="8" t="s">
        <v>152</v>
      </c>
      <c r="D45" s="8" t="s">
        <v>157</v>
      </c>
      <c r="E45" s="10" t="s">
        <v>154</v>
      </c>
      <c r="F45" s="10" t="s">
        <v>82</v>
      </c>
      <c r="G45" s="10"/>
      <c r="H45" s="10" t="s">
        <v>22</v>
      </c>
      <c r="I45" s="10" t="s">
        <v>21</v>
      </c>
      <c r="J45" s="10"/>
      <c r="K45" s="8"/>
      <c r="L45" s="8"/>
      <c r="M45" s="10"/>
      <c r="N45" s="10"/>
      <c r="O45" s="10"/>
      <c r="P45" s="10"/>
      <c r="Q45" s="8"/>
      <c r="R45" s="8"/>
      <c r="S45" s="8"/>
      <c r="V45" s="9" t="s">
        <v>42</v>
      </c>
    </row>
    <row r="46" spans="3:22" s="9" customFormat="1">
      <c r="C46" s="8" t="s">
        <v>152</v>
      </c>
      <c r="D46" s="8" t="s">
        <v>158</v>
      </c>
      <c r="E46" s="10" t="s">
        <v>154</v>
      </c>
      <c r="F46" s="10" t="s">
        <v>82</v>
      </c>
      <c r="G46" s="10"/>
      <c r="H46" s="10" t="s">
        <v>22</v>
      </c>
      <c r="I46" s="10" t="s">
        <v>21</v>
      </c>
      <c r="J46" s="10"/>
      <c r="K46" s="8"/>
      <c r="L46" s="8"/>
      <c r="M46" s="10"/>
      <c r="N46" s="10"/>
      <c r="O46" s="10"/>
      <c r="P46" s="10"/>
      <c r="Q46" s="8"/>
      <c r="R46" s="8"/>
      <c r="S46" s="8"/>
      <c r="V46" s="9" t="s">
        <v>64</v>
      </c>
    </row>
    <row r="47" spans="3:22">
      <c r="V47" s="2" t="s">
        <v>159</v>
      </c>
    </row>
    <row r="48" spans="3:22">
      <c r="V48" s="2" t="s">
        <v>160</v>
      </c>
    </row>
    <row r="50" spans="23:24" ht="15" thickBot="1"/>
    <row r="51" spans="23:24" ht="21.6" thickBot="1">
      <c r="W51" s="1" t="s">
        <v>161</v>
      </c>
    </row>
    <row r="52" spans="23:24">
      <c r="W52" s="2" t="s">
        <v>45</v>
      </c>
    </row>
    <row r="53" spans="23:24">
      <c r="W53" s="2" t="s">
        <v>154</v>
      </c>
    </row>
    <row r="54" spans="23:24">
      <c r="W54" s="2" t="s">
        <v>116</v>
      </c>
    </row>
    <row r="55" spans="23:24">
      <c r="W55" s="2" t="s">
        <v>137</v>
      </c>
    </row>
    <row r="56" spans="23:24">
      <c r="W56" s="2" t="s">
        <v>31</v>
      </c>
    </row>
    <row r="57" spans="23:24">
      <c r="W57" s="2" t="s">
        <v>89</v>
      </c>
    </row>
    <row r="58" spans="23:24">
      <c r="W58" s="2" t="s">
        <v>124</v>
      </c>
    </row>
    <row r="59" spans="23:24">
      <c r="W59" s="2" t="s">
        <v>114</v>
      </c>
    </row>
    <row r="60" spans="23:24" ht="15" thickBot="1">
      <c r="W60" s="2" t="s">
        <v>162</v>
      </c>
    </row>
    <row r="61" spans="23:24" ht="21.6" thickBot="1">
      <c r="X61" s="1" t="s">
        <v>163</v>
      </c>
    </row>
    <row r="62" spans="23:24">
      <c r="X62" s="2" t="s">
        <v>45</v>
      </c>
    </row>
    <row r="63" spans="23:24">
      <c r="X63" s="2"/>
    </row>
    <row r="64" spans="23:24" ht="15" thickBot="1">
      <c r="X64" s="2"/>
    </row>
    <row r="65" spans="24:25" ht="21.6" thickBot="1">
      <c r="X65" s="2"/>
      <c r="Y65" s="1" t="s">
        <v>164</v>
      </c>
    </row>
    <row r="66" spans="24:25">
      <c r="Y66" s="2" t="s">
        <v>22</v>
      </c>
    </row>
    <row r="67" spans="24:25">
      <c r="Y67" s="2" t="s">
        <v>21</v>
      </c>
    </row>
  </sheetData>
  <dataValidations count="2">
    <dataValidation type="list" allowBlank="1" showInputMessage="1" showErrorMessage="1" sqref="E2" xr:uid="{AB29F87F-82C7-4CB5-8CCB-B04FC4C4083E}">
      <formula1>ListDataControlType</formula1>
    </dataValidation>
    <dataValidation type="list" allowBlank="1" showInputMessage="1" showErrorMessage="1" sqref="H2:H46" xr:uid="{6B0344F5-E88C-4876-8553-FB9378710209}">
      <formula1>ListYesNo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EC4F3A62-48A4-4376-AE6B-959E6F54F415}">
          <x14:formula1>
            <xm:f>'Dropdown Lists'!$A$2:$A$25</xm:f>
          </x14:formula1>
          <xm:sqref>G2:G46</xm:sqref>
        </x14:dataValidation>
        <x14:dataValidation type="list" allowBlank="1" showInputMessage="1" showErrorMessage="1" xr:uid="{9B5EA6E5-8F95-45E8-95C9-174D1ECD4970}">
          <x14:formula1>
            <xm:f>'Dropdown Lists'!$V$2:$V$10</xm:f>
          </x14:formula1>
          <xm:sqref>E22:E46</xm:sqref>
        </x14:dataValidation>
        <x14:dataValidation type="list" allowBlank="1" showInputMessage="1" showErrorMessage="1" xr:uid="{6E5E32DD-1570-4DBB-A188-63258977C99D}">
          <x14:formula1>
            <xm:f>'Dropdown Lists'!$T$2:$T$10</xm:f>
          </x14:formula1>
          <xm:sqref>P2:P41</xm:sqref>
        </x14:dataValidation>
        <x14:dataValidation type="list" allowBlank="1" showInputMessage="1" showErrorMessage="1" xr:uid="{961BCD2D-8FF0-4D4F-BD9A-459C13E8DBF6}">
          <x14:formula1>
            <xm:f>'Dropdown Lists'!$V$1:$V$11</xm:f>
          </x14:formula1>
          <xm:sqref>E24 E3:E22</xm:sqref>
        </x14:dataValidation>
        <x14:dataValidation type="list" allowBlank="1" showInputMessage="1" showErrorMessage="1" xr:uid="{ECB045D6-FB45-42CF-9FC4-3993705B31E9}">
          <x14:formula1>
            <xm:f>'Dropdown Lists'!$S$2:$S$5</xm:f>
          </x14:formula1>
          <xm:sqref>F2:F46</xm:sqref>
        </x14:dataValidation>
        <x14:dataValidation type="list" allowBlank="1" showInputMessage="1" showErrorMessage="1" xr:uid="{AA537294-93EF-43DC-98A2-EF150DB1B33D}">
          <x14:formula1>
            <xm:f>'Dropdown Lists'!$U$2:$U$6</xm:f>
          </x14:formula1>
          <xm:sqref>N2:N41</xm:sqref>
        </x14:dataValidation>
        <x14:dataValidation type="list" allowBlank="1" showInputMessage="1" showErrorMessage="1" xr:uid="{1026D90F-A3BE-4A83-A181-2AAD5D662AB9}">
          <x14:formula1>
            <xm:f>'Dropdown Lists'!$W$2:$W$3</xm:f>
          </x14:formula1>
          <xm:sqref>M2:Q41 I2:J46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BF8D-82F8-41F3-8C8B-C892EFA0E69E}">
  <dimension ref="A1:AR35"/>
  <sheetViews>
    <sheetView zoomScaleNormal="100" workbookViewId="0">
      <selection activeCell="A3" sqref="A3"/>
    </sheetView>
  </sheetViews>
  <sheetFormatPr defaultRowHeight="14.45"/>
  <cols>
    <col min="1" max="1" width="47.5703125" customWidth="1"/>
    <col min="2" max="2" width="17.140625" customWidth="1"/>
    <col min="3" max="5" width="20.28515625" customWidth="1"/>
    <col min="6" max="6" width="22.7109375" bestFit="1" customWidth="1"/>
    <col min="7" max="7" width="22.7109375" customWidth="1"/>
    <col min="8" max="8" width="24.85546875" customWidth="1"/>
    <col min="9" max="9" width="48.42578125" bestFit="1" customWidth="1"/>
    <col min="10" max="10" width="35.7109375" bestFit="1" customWidth="1"/>
    <col min="11" max="11" width="31.28515625" bestFit="1" customWidth="1"/>
    <col min="12" max="12" width="31.28515625" customWidth="1"/>
    <col min="13" max="15" width="20.28515625" customWidth="1"/>
    <col min="16" max="16" width="21.28515625" customWidth="1"/>
    <col min="17" max="18" width="20.28515625" customWidth="1"/>
    <col min="19" max="19" width="19.42578125" customWidth="1"/>
    <col min="20" max="20" width="23.7109375" bestFit="1" customWidth="1"/>
    <col min="21" max="21" width="23.42578125" bestFit="1" customWidth="1"/>
    <col min="22" max="22" width="20.85546875" bestFit="1" customWidth="1"/>
    <col min="23" max="23" width="11.28515625" customWidth="1"/>
    <col min="24" max="24" width="23.7109375" customWidth="1"/>
    <col min="25" max="25" width="16.28515625" customWidth="1"/>
    <col min="26" max="26" width="15.5703125" bestFit="1" customWidth="1"/>
    <col min="27" max="27" width="12.140625" bestFit="1" customWidth="1"/>
  </cols>
  <sheetData>
    <row r="1" spans="1:44" s="5" customFormat="1" ht="15.6">
      <c r="A1" s="6" t="s">
        <v>165</v>
      </c>
      <c r="B1" s="6" t="s">
        <v>71</v>
      </c>
      <c r="C1" s="6" t="s">
        <v>75</v>
      </c>
      <c r="D1" s="6" t="s">
        <v>79</v>
      </c>
      <c r="E1" s="6" t="s">
        <v>90</v>
      </c>
      <c r="F1" s="6" t="s">
        <v>93</v>
      </c>
      <c r="G1" s="6" t="s">
        <v>111</v>
      </c>
      <c r="H1" s="6" t="s">
        <v>83</v>
      </c>
      <c r="I1" s="6" t="s">
        <v>86</v>
      </c>
      <c r="J1" s="7" t="s">
        <v>96</v>
      </c>
      <c r="K1" s="7" t="s">
        <v>99</v>
      </c>
      <c r="L1" s="6" t="s">
        <v>166</v>
      </c>
      <c r="M1" s="6" t="s">
        <v>105</v>
      </c>
      <c r="N1" s="6" t="s">
        <v>102</v>
      </c>
      <c r="O1" s="7" t="s">
        <v>143</v>
      </c>
      <c r="P1" s="6" t="s">
        <v>140</v>
      </c>
      <c r="Q1" s="6" t="s">
        <v>146</v>
      </c>
      <c r="R1" s="6" t="s">
        <v>149</v>
      </c>
      <c r="S1" s="6" t="s">
        <v>167</v>
      </c>
      <c r="T1" s="6" t="s">
        <v>168</v>
      </c>
      <c r="U1" s="6" t="s">
        <v>169</v>
      </c>
      <c r="V1" s="6" t="s">
        <v>170</v>
      </c>
      <c r="W1" s="6" t="s">
        <v>108</v>
      </c>
      <c r="X1" s="6" t="s">
        <v>171</v>
      </c>
      <c r="Y1" s="6" t="s">
        <v>172</v>
      </c>
      <c r="Z1" s="6" t="s">
        <v>173</v>
      </c>
      <c r="AN1" s="4"/>
      <c r="AO1" s="4"/>
      <c r="AP1" s="4"/>
      <c r="AQ1" s="4"/>
      <c r="AR1" s="4"/>
    </row>
    <row r="2" spans="1:44" s="3" customFormat="1" ht="15">
      <c r="A2" s="3" t="s">
        <v>71</v>
      </c>
      <c r="B2" s="3" t="s">
        <v>174</v>
      </c>
      <c r="C2" s="3" t="s">
        <v>175</v>
      </c>
      <c r="D2" s="3" t="s">
        <v>176</v>
      </c>
      <c r="E2" s="3" t="s">
        <v>177</v>
      </c>
      <c r="F2" s="3" t="s">
        <v>178</v>
      </c>
      <c r="G2" s="3" t="s">
        <v>179</v>
      </c>
      <c r="H2" s="3" t="s">
        <v>180</v>
      </c>
      <c r="I2" s="3" t="s">
        <v>181</v>
      </c>
      <c r="J2" s="3" t="s">
        <v>182</v>
      </c>
      <c r="K2" s="3" t="s">
        <v>183</v>
      </c>
      <c r="L2" s="3" t="s">
        <v>184</v>
      </c>
      <c r="M2" s="3" t="s">
        <v>185</v>
      </c>
      <c r="N2" s="3" t="s">
        <v>186</v>
      </c>
      <c r="O2" s="3" t="s">
        <v>187</v>
      </c>
      <c r="P2" s="3" t="s">
        <v>188</v>
      </c>
      <c r="S2" s="3" t="s">
        <v>27</v>
      </c>
      <c r="T2" s="3" t="s">
        <v>189</v>
      </c>
      <c r="U2" s="3" t="s">
        <v>24</v>
      </c>
      <c r="V2" s="3" t="s">
        <v>45</v>
      </c>
      <c r="W2" s="3" t="s">
        <v>22</v>
      </c>
      <c r="Y2" s="3" t="s">
        <v>190</v>
      </c>
      <c r="Z2" s="3" t="s">
        <v>191</v>
      </c>
    </row>
    <row r="3" spans="1:44" s="3" customFormat="1" ht="15">
      <c r="A3" s="3" t="s">
        <v>75</v>
      </c>
      <c r="B3" s="3" t="s">
        <v>192</v>
      </c>
      <c r="C3" s="3" t="s">
        <v>193</v>
      </c>
      <c r="D3" s="3" t="s">
        <v>194</v>
      </c>
      <c r="E3" s="3" t="s">
        <v>195</v>
      </c>
      <c r="F3" s="3" t="s">
        <v>196</v>
      </c>
      <c r="G3" s="3" t="s">
        <v>197</v>
      </c>
      <c r="H3" s="3" t="s">
        <v>198</v>
      </c>
      <c r="I3" s="3" t="s">
        <v>199</v>
      </c>
      <c r="J3" s="3" t="s">
        <v>200</v>
      </c>
      <c r="K3" s="3" t="s">
        <v>201</v>
      </c>
      <c r="L3" s="3" t="s">
        <v>202</v>
      </c>
      <c r="M3" s="3" t="s">
        <v>203</v>
      </c>
      <c r="N3" s="3" t="s">
        <v>204</v>
      </c>
      <c r="O3" s="3" t="s">
        <v>205</v>
      </c>
      <c r="P3" s="3" t="s">
        <v>206</v>
      </c>
      <c r="S3" s="3" t="s">
        <v>20</v>
      </c>
      <c r="T3" s="3" t="s">
        <v>207</v>
      </c>
      <c r="U3" s="3" t="s">
        <v>42</v>
      </c>
      <c r="V3" s="3" t="s">
        <v>154</v>
      </c>
      <c r="W3" s="3" t="s">
        <v>21</v>
      </c>
      <c r="Y3" s="3" t="s">
        <v>208</v>
      </c>
      <c r="Z3" s="3" t="s">
        <v>209</v>
      </c>
    </row>
    <row r="4" spans="1:44" s="3" customFormat="1" ht="15">
      <c r="A4" s="3" t="s">
        <v>79</v>
      </c>
      <c r="B4" s="3" t="s">
        <v>210</v>
      </c>
      <c r="C4" s="3" t="s">
        <v>211</v>
      </c>
      <c r="D4" s="3" t="s">
        <v>212</v>
      </c>
      <c r="E4" s="3" t="s">
        <v>213</v>
      </c>
      <c r="F4" s="3" t="s">
        <v>214</v>
      </c>
      <c r="G4" s="3" t="s">
        <v>215</v>
      </c>
      <c r="H4" s="3" t="s">
        <v>216</v>
      </c>
      <c r="I4" s="3" t="s">
        <v>217</v>
      </c>
      <c r="J4" s="3" t="s">
        <v>218</v>
      </c>
      <c r="K4" s="3" t="s">
        <v>219</v>
      </c>
      <c r="M4" s="3" t="s">
        <v>220</v>
      </c>
      <c r="O4" s="3" t="s">
        <v>221</v>
      </c>
      <c r="P4" s="3" t="s">
        <v>222</v>
      </c>
      <c r="S4" s="3" t="s">
        <v>117</v>
      </c>
      <c r="T4" s="3" t="s">
        <v>223</v>
      </c>
      <c r="U4" s="3" t="s">
        <v>64</v>
      </c>
      <c r="V4" s="3" t="s">
        <v>116</v>
      </c>
      <c r="Y4" s="3" t="s">
        <v>224</v>
      </c>
    </row>
    <row r="5" spans="1:44" s="3" customFormat="1" ht="15">
      <c r="A5" s="3" t="s">
        <v>90</v>
      </c>
      <c r="B5" s="3" t="s">
        <v>225</v>
      </c>
      <c r="D5" s="3" t="s">
        <v>226</v>
      </c>
      <c r="E5" s="3" t="s">
        <v>227</v>
      </c>
      <c r="F5" s="3" t="s">
        <v>228</v>
      </c>
      <c r="I5" s="3" t="s">
        <v>229</v>
      </c>
      <c r="J5" s="3" t="s">
        <v>230</v>
      </c>
      <c r="K5" s="3" t="s">
        <v>231</v>
      </c>
      <c r="P5" s="3" t="s">
        <v>232</v>
      </c>
      <c r="S5" s="3" t="s">
        <v>82</v>
      </c>
      <c r="T5" s="3" t="s">
        <v>233</v>
      </c>
      <c r="U5" s="3" t="s">
        <v>159</v>
      </c>
      <c r="V5" s="3" t="s">
        <v>137</v>
      </c>
      <c r="Y5" s="3" t="s">
        <v>234</v>
      </c>
    </row>
    <row r="6" spans="1:44" s="3" customFormat="1" ht="15">
      <c r="A6" s="3" t="s">
        <v>93</v>
      </c>
      <c r="B6" s="3" t="s">
        <v>235</v>
      </c>
      <c r="D6" s="3" t="s">
        <v>236</v>
      </c>
      <c r="F6" s="3" t="s">
        <v>237</v>
      </c>
      <c r="I6" s="3" t="s">
        <v>238</v>
      </c>
      <c r="J6" s="3" t="s">
        <v>239</v>
      </c>
      <c r="P6" s="3" t="s">
        <v>240</v>
      </c>
      <c r="T6" s="3" t="s">
        <v>241</v>
      </c>
      <c r="U6" s="3" t="s">
        <v>160</v>
      </c>
      <c r="V6" s="3" t="s">
        <v>31</v>
      </c>
    </row>
    <row r="7" spans="1:44" s="3" customFormat="1" ht="15">
      <c r="A7" s="3" t="s">
        <v>111</v>
      </c>
      <c r="B7" s="3" t="s">
        <v>242</v>
      </c>
      <c r="D7" s="3" t="s">
        <v>243</v>
      </c>
      <c r="F7" s="3" t="s">
        <v>244</v>
      </c>
      <c r="I7" s="3" t="s">
        <v>245</v>
      </c>
      <c r="J7" s="3" t="s">
        <v>246</v>
      </c>
      <c r="P7" s="3" t="s">
        <v>247</v>
      </c>
      <c r="T7" s="3" t="s">
        <v>248</v>
      </c>
      <c r="V7" s="3" t="s">
        <v>89</v>
      </c>
    </row>
    <row r="8" spans="1:44" s="3" customFormat="1" ht="15">
      <c r="A8" s="3" t="s">
        <v>83</v>
      </c>
      <c r="B8" s="3" t="s">
        <v>249</v>
      </c>
      <c r="F8" s="3" t="s">
        <v>250</v>
      </c>
      <c r="I8" s="3" t="s">
        <v>251</v>
      </c>
      <c r="J8" s="3" t="s">
        <v>252</v>
      </c>
      <c r="P8" s="3" t="s">
        <v>253</v>
      </c>
      <c r="T8" s="3" t="s">
        <v>254</v>
      </c>
      <c r="V8" s="3" t="s">
        <v>124</v>
      </c>
    </row>
    <row r="9" spans="1:44" s="3" customFormat="1" ht="15">
      <c r="A9" s="3" t="s">
        <v>86</v>
      </c>
      <c r="B9" s="3" t="s">
        <v>255</v>
      </c>
      <c r="F9" s="3" t="s">
        <v>256</v>
      </c>
      <c r="J9" s="3" t="s">
        <v>257</v>
      </c>
      <c r="P9" s="3" t="s">
        <v>258</v>
      </c>
      <c r="T9" s="3" t="s">
        <v>259</v>
      </c>
      <c r="V9" s="3" t="s">
        <v>114</v>
      </c>
    </row>
    <row r="10" spans="1:44" s="3" customFormat="1" ht="15">
      <c r="A10" s="3" t="s">
        <v>99</v>
      </c>
      <c r="B10" s="3" t="s">
        <v>260</v>
      </c>
      <c r="J10" s="3" t="s">
        <v>261</v>
      </c>
      <c r="P10" s="3" t="s">
        <v>262</v>
      </c>
      <c r="T10" s="3" t="s">
        <v>263</v>
      </c>
      <c r="V10" s="3" t="s">
        <v>162</v>
      </c>
    </row>
    <row r="11" spans="1:44" s="3" customFormat="1" ht="15">
      <c r="A11" s="3" t="s">
        <v>166</v>
      </c>
      <c r="J11" s="3" t="s">
        <v>264</v>
      </c>
      <c r="P11" s="3" t="s">
        <v>265</v>
      </c>
      <c r="T11" s="3" t="s">
        <v>266</v>
      </c>
      <c r="V11" s="3" t="s">
        <v>19</v>
      </c>
    </row>
    <row r="12" spans="1:44" s="3" customFormat="1" ht="15">
      <c r="A12" s="3" t="s">
        <v>96</v>
      </c>
      <c r="P12" s="3" t="s">
        <v>267</v>
      </c>
    </row>
    <row r="13" spans="1:44" s="3" customFormat="1" ht="15">
      <c r="A13" s="3" t="s">
        <v>105</v>
      </c>
    </row>
    <row r="14" spans="1:44" s="3" customFormat="1" ht="15">
      <c r="A14" s="3" t="s">
        <v>102</v>
      </c>
    </row>
    <row r="15" spans="1:44" s="3" customFormat="1" ht="15">
      <c r="A15" s="3" t="s">
        <v>143</v>
      </c>
    </row>
    <row r="16" spans="1:44" s="3" customFormat="1" ht="15">
      <c r="A16" s="3" t="s">
        <v>140</v>
      </c>
    </row>
    <row r="17" spans="1:1" s="3" customFormat="1" ht="15">
      <c r="A17" s="3" t="s">
        <v>146</v>
      </c>
    </row>
    <row r="18" spans="1:1" s="3" customFormat="1" ht="15">
      <c r="A18" s="3" t="s">
        <v>149</v>
      </c>
    </row>
    <row r="19" spans="1:1" s="3" customFormat="1" ht="15">
      <c r="A19" s="3" t="s">
        <v>167</v>
      </c>
    </row>
    <row r="20" spans="1:1" s="3" customFormat="1" ht="15">
      <c r="A20" s="3" t="s">
        <v>168</v>
      </c>
    </row>
    <row r="21" spans="1:1" s="3" customFormat="1" ht="15">
      <c r="A21" s="3" t="s">
        <v>169</v>
      </c>
    </row>
    <row r="22" spans="1:1" s="3" customFormat="1" ht="15">
      <c r="A22" s="3" t="s">
        <v>170</v>
      </c>
    </row>
    <row r="23" spans="1:1" s="3" customFormat="1" ht="15">
      <c r="A23" s="3" t="s">
        <v>108</v>
      </c>
    </row>
    <row r="24" spans="1:1" s="3" customFormat="1" ht="15">
      <c r="A24" s="3" t="s">
        <v>171</v>
      </c>
    </row>
    <row r="25" spans="1:1" s="3" customFormat="1" ht="15"/>
    <row r="26" spans="1:1" s="3" customFormat="1" ht="15"/>
    <row r="27" spans="1:1" s="3" customFormat="1" ht="15"/>
    <row r="28" spans="1:1" s="3" customFormat="1" ht="15"/>
    <row r="29" spans="1:1" s="3" customFormat="1" ht="15"/>
    <row r="30" spans="1:1" s="3" customFormat="1" ht="15"/>
    <row r="31" spans="1:1" s="3" customFormat="1" ht="15"/>
    <row r="32" spans="1:1" s="3" customFormat="1" ht="15"/>
    <row r="33" s="3" customFormat="1" ht="15"/>
    <row r="34" s="3" customFormat="1" ht="15"/>
    <row r="35" s="3" customFormat="1" ht="15"/>
  </sheetData>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EA29D-ECEF-48AD-8A50-8DAD1E0B261B}">
  <dimension ref="A1:N40"/>
  <sheetViews>
    <sheetView topLeftCell="G15" workbookViewId="0">
      <selection activeCell="G40" sqref="G40"/>
    </sheetView>
  </sheetViews>
  <sheetFormatPr defaultRowHeight="14.45"/>
  <cols>
    <col min="1" max="2" width="12.28515625" hidden="1" customWidth="1"/>
    <col min="3" max="3" width="17.5703125" hidden="1" customWidth="1"/>
    <col min="4" max="5" width="19" hidden="1" customWidth="1"/>
    <col min="6" max="6" width="15.28515625" hidden="1" customWidth="1"/>
    <col min="7" max="7" width="22.7109375" customWidth="1"/>
    <col min="8" max="8" width="8.5703125" bestFit="1" customWidth="1"/>
    <col min="9" max="9" width="44.140625" bestFit="1" customWidth="1"/>
    <col min="10" max="10" width="24.28515625" customWidth="1"/>
    <col min="11" max="11" width="20.140625" customWidth="1"/>
    <col min="12" max="12" width="41.140625" bestFit="1" customWidth="1"/>
    <col min="13" max="13" width="39.140625" customWidth="1"/>
  </cols>
  <sheetData>
    <row r="1" spans="1:14">
      <c r="A1" s="14" t="s">
        <v>268</v>
      </c>
      <c r="B1" s="14" t="s">
        <v>269</v>
      </c>
      <c r="C1" s="14" t="s">
        <v>270</v>
      </c>
      <c r="D1" s="14" t="s">
        <v>271</v>
      </c>
      <c r="E1" s="14" t="s">
        <v>272</v>
      </c>
      <c r="F1" s="14" t="s">
        <v>273</v>
      </c>
      <c r="G1" s="36" t="s">
        <v>274</v>
      </c>
      <c r="H1" s="36" t="s">
        <v>275</v>
      </c>
      <c r="I1" s="36" t="s">
        <v>276</v>
      </c>
      <c r="J1" s="36"/>
      <c r="K1" s="36" t="s">
        <v>274</v>
      </c>
      <c r="L1" s="36" t="s">
        <v>277</v>
      </c>
      <c r="M1" s="36" t="s">
        <v>278</v>
      </c>
      <c r="N1" s="36" t="s">
        <v>279</v>
      </c>
    </row>
    <row r="2" spans="1:14">
      <c r="A2" s="25" t="s">
        <v>280</v>
      </c>
      <c r="B2" s="25" t="s">
        <v>281</v>
      </c>
      <c r="C2" s="25" t="s">
        <v>282</v>
      </c>
      <c r="D2" s="25" t="str">
        <f>+Types!F4</f>
        <v>Condition + Output</v>
      </c>
      <c r="E2" s="25" t="str">
        <f>+Types!H2</f>
        <v>And</v>
      </c>
      <c r="F2" s="25" t="s">
        <v>283</v>
      </c>
      <c r="G2" s="25" t="str">
        <f>+'Field Registry'!C15</f>
        <v>PropertyType</v>
      </c>
      <c r="H2" s="26" t="s">
        <v>284</v>
      </c>
      <c r="I2" s="25" t="str">
        <f>+tblPropertyType[[#This Row],[ListPropertyType]]</f>
        <v>Multifamily</v>
      </c>
      <c r="J2" s="25"/>
      <c r="K2" s="25" t="str">
        <f>+'Field Registry'!C20</f>
        <v>InterestAppraised</v>
      </c>
      <c r="L2" s="25" t="str">
        <f>+'Dropdown Lists'!E2</f>
        <v xml:space="preserve">Fee Simple </v>
      </c>
      <c r="M2" s="25" t="s">
        <v>285</v>
      </c>
    </row>
    <row r="3" spans="1:14">
      <c r="A3" s="25" t="s">
        <v>286</v>
      </c>
      <c r="B3" s="25" t="s">
        <v>281</v>
      </c>
      <c r="C3" s="25" t="s">
        <v>282</v>
      </c>
      <c r="D3" s="25" t="str">
        <f>+D2</f>
        <v>Condition + Output</v>
      </c>
      <c r="E3" s="25" t="s">
        <v>287</v>
      </c>
      <c r="F3" s="25" t="s">
        <v>283</v>
      </c>
      <c r="G3" s="25"/>
      <c r="H3" s="26" t="s">
        <v>284</v>
      </c>
      <c r="I3" s="25" t="str">
        <f>+tblPropertyType[[#This Row],[ListPropertyType]]</f>
        <v>Self-Storage</v>
      </c>
      <c r="J3" s="25"/>
      <c r="K3" s="25"/>
      <c r="L3" s="25" t="str">
        <f>+'Dropdown Lists'!E2</f>
        <v xml:space="preserve">Fee Simple </v>
      </c>
      <c r="M3" s="25" t="s">
        <v>285</v>
      </c>
    </row>
    <row r="4" spans="1:14">
      <c r="A4" s="25" t="s">
        <v>288</v>
      </c>
      <c r="B4" s="25" t="s">
        <v>281</v>
      </c>
      <c r="C4" s="25" t="s">
        <v>282</v>
      </c>
      <c r="D4" s="25" t="s">
        <v>289</v>
      </c>
      <c r="E4" s="25" t="s">
        <v>287</v>
      </c>
      <c r="F4" s="25" t="s">
        <v>283</v>
      </c>
      <c r="G4" s="25"/>
      <c r="H4" s="26" t="s">
        <v>284</v>
      </c>
      <c r="I4" s="25" t="str">
        <f>+tblPropertyType[[#This Row],[ListPropertyType]]</f>
        <v>Retail</v>
      </c>
      <c r="J4" s="25"/>
      <c r="K4" s="25"/>
      <c r="L4" s="25" t="str">
        <f>+'Dropdown Lists'!E3</f>
        <v>Leased Fee Interest</v>
      </c>
      <c r="M4" s="25" t="s">
        <v>285</v>
      </c>
    </row>
    <row r="5" spans="1:14">
      <c r="A5" s="25" t="s">
        <v>290</v>
      </c>
      <c r="B5" s="25" t="s">
        <v>281</v>
      </c>
      <c r="C5" s="25" t="s">
        <v>282</v>
      </c>
      <c r="D5" s="25" t="s">
        <v>289</v>
      </c>
      <c r="E5" s="25" t="s">
        <v>287</v>
      </c>
      <c r="F5" s="25" t="s">
        <v>283</v>
      </c>
      <c r="G5" s="25"/>
      <c r="H5" s="26" t="s">
        <v>284</v>
      </c>
      <c r="I5" s="25" t="str">
        <f>+tblPropertyType[[#This Row],[ListPropertyType]]</f>
        <v>Industrial</v>
      </c>
      <c r="J5" s="25"/>
      <c r="K5" s="25"/>
      <c r="L5" s="25" t="str">
        <f>+'Dropdown Lists'!E3</f>
        <v>Leased Fee Interest</v>
      </c>
      <c r="M5" s="25" t="s">
        <v>285</v>
      </c>
    </row>
    <row r="6" spans="1:14">
      <c r="A6" s="25" t="s">
        <v>291</v>
      </c>
      <c r="B6" s="25" t="s">
        <v>281</v>
      </c>
      <c r="C6" s="25" t="s">
        <v>282</v>
      </c>
      <c r="D6" s="25" t="s">
        <v>289</v>
      </c>
      <c r="E6" s="25" t="s">
        <v>287</v>
      </c>
      <c r="F6" s="25" t="s">
        <v>283</v>
      </c>
      <c r="G6" s="25"/>
      <c r="H6" s="26" t="s">
        <v>284</v>
      </c>
      <c r="I6" s="25" t="str">
        <f>+tblPropertyType[[#This Row],[ListPropertyType]]</f>
        <v>Office</v>
      </c>
      <c r="J6" s="25"/>
      <c r="K6" s="25"/>
      <c r="L6" s="25" t="str">
        <f>+'Dropdown Lists'!E3</f>
        <v>Leased Fee Interest</v>
      </c>
      <c r="M6" s="25" t="s">
        <v>285</v>
      </c>
    </row>
    <row r="7" spans="1:14">
      <c r="A7" s="25" t="s">
        <v>292</v>
      </c>
      <c r="B7" s="25" t="s">
        <v>281</v>
      </c>
      <c r="C7" s="25" t="s">
        <v>282</v>
      </c>
      <c r="D7" s="25" t="s">
        <v>289</v>
      </c>
      <c r="E7" s="25" t="s">
        <v>287</v>
      </c>
      <c r="F7" s="25" t="s">
        <v>283</v>
      </c>
      <c r="G7" s="25"/>
      <c r="H7" s="26" t="s">
        <v>284</v>
      </c>
      <c r="I7" s="25" t="str">
        <f>+tblPropertyType[[#This Row],[ListPropertyType]]</f>
        <v>Land</v>
      </c>
      <c r="J7" s="25"/>
      <c r="K7" s="25"/>
      <c r="L7" s="25" t="str">
        <f>+'Dropdown Lists'!E2</f>
        <v xml:space="preserve">Fee Simple </v>
      </c>
      <c r="M7" s="25" t="s">
        <v>285</v>
      </c>
    </row>
    <row r="8" spans="1:14">
      <c r="A8" s="25" t="s">
        <v>293</v>
      </c>
      <c r="B8" s="25" t="s">
        <v>281</v>
      </c>
      <c r="C8" s="25" t="s">
        <v>282</v>
      </c>
      <c r="D8" s="25" t="s">
        <v>289</v>
      </c>
      <c r="E8" s="25" t="s">
        <v>287</v>
      </c>
      <c r="F8" s="25" t="s">
        <v>283</v>
      </c>
      <c r="G8" s="25"/>
      <c r="H8" s="26" t="s">
        <v>284</v>
      </c>
      <c r="I8" s="25" t="str">
        <f>+tblPropertyType[[#This Row],[ListPropertyType]]</f>
        <v>Hotel</v>
      </c>
      <c r="J8" s="25"/>
      <c r="K8" s="25"/>
      <c r="L8" s="25" t="str">
        <f>+L2</f>
        <v xml:space="preserve">Fee Simple </v>
      </c>
      <c r="M8" s="25" t="s">
        <v>285</v>
      </c>
    </row>
    <row r="9" spans="1:14">
      <c r="A9" s="25" t="s">
        <v>294</v>
      </c>
      <c r="B9" s="25" t="s">
        <v>281</v>
      </c>
      <c r="C9" s="25" t="s">
        <v>282</v>
      </c>
      <c r="D9" s="25" t="s">
        <v>289</v>
      </c>
      <c r="E9" s="25" t="s">
        <v>287</v>
      </c>
      <c r="F9" s="25" t="s">
        <v>283</v>
      </c>
      <c r="G9" s="25"/>
      <c r="H9" s="26" t="s">
        <v>284</v>
      </c>
      <c r="I9" s="25" t="str">
        <f>+tblPropertyType[[#This Row],[ListPropertyType]]</f>
        <v xml:space="preserve">Seniors </v>
      </c>
      <c r="J9" s="25"/>
      <c r="K9" s="25"/>
      <c r="L9" s="25" t="str">
        <f>+L2</f>
        <v xml:space="preserve">Fee Simple </v>
      </c>
      <c r="M9" s="25" t="s">
        <v>285</v>
      </c>
    </row>
    <row r="10" spans="1:14">
      <c r="A10" s="29" t="s">
        <v>295</v>
      </c>
      <c r="B10" s="29" t="s">
        <v>281</v>
      </c>
      <c r="C10" s="29" t="s">
        <v>282</v>
      </c>
      <c r="D10" s="29" t="s">
        <v>289</v>
      </c>
      <c r="E10" s="29" t="s">
        <v>287</v>
      </c>
      <c r="F10" s="29" t="s">
        <v>283</v>
      </c>
      <c r="G10" s="29" t="str">
        <f>+'Field Registry'!C17</f>
        <v>Tenancy</v>
      </c>
      <c r="H10" s="30" t="s">
        <v>284</v>
      </c>
      <c r="I10" s="29" t="s">
        <v>296</v>
      </c>
      <c r="J10" s="29"/>
      <c r="K10" s="29" t="s">
        <v>87</v>
      </c>
      <c r="L10" s="29" t="s">
        <v>177</v>
      </c>
      <c r="M10" s="29"/>
    </row>
    <row r="11" spans="1:14" ht="15">
      <c r="A11" s="29"/>
      <c r="B11" s="29"/>
      <c r="C11" s="29"/>
      <c r="D11" s="29"/>
      <c r="E11" s="29"/>
      <c r="F11" s="29"/>
      <c r="G11" s="33"/>
      <c r="H11" s="34" t="s">
        <v>284</v>
      </c>
      <c r="I11" s="33" t="s">
        <v>176</v>
      </c>
      <c r="J11" s="33"/>
      <c r="K11" s="33"/>
      <c r="L11" s="35" t="s">
        <v>195</v>
      </c>
      <c r="M11" s="33"/>
    </row>
    <row r="12" spans="1:14" ht="15">
      <c r="A12" s="29"/>
      <c r="B12" s="29"/>
      <c r="C12" s="29"/>
      <c r="D12" s="29"/>
      <c r="E12" s="29"/>
      <c r="F12" s="29"/>
      <c r="G12" s="33"/>
      <c r="H12" s="34" t="s">
        <v>284</v>
      </c>
      <c r="I12" s="33" t="s">
        <v>212</v>
      </c>
      <c r="J12" s="33"/>
      <c r="K12" s="33"/>
      <c r="L12" s="35" t="s">
        <v>213</v>
      </c>
      <c r="M12" s="33"/>
    </row>
    <row r="13" spans="1:14" ht="15">
      <c r="A13" s="29"/>
      <c r="B13" s="29"/>
      <c r="C13" s="29"/>
      <c r="D13" s="29"/>
      <c r="E13" s="29"/>
      <c r="F13" s="29"/>
      <c r="G13" s="33"/>
      <c r="H13" s="34" t="s">
        <v>284</v>
      </c>
      <c r="I13" s="33" t="s">
        <v>226</v>
      </c>
      <c r="J13" s="33"/>
      <c r="K13" s="33"/>
      <c r="L13" s="35" t="s">
        <v>227</v>
      </c>
      <c r="M13" s="33"/>
    </row>
    <row r="14" spans="1:14">
      <c r="A14" s="29"/>
      <c r="B14" s="29"/>
      <c r="C14" s="29"/>
      <c r="D14" s="29"/>
      <c r="E14" s="29"/>
      <c r="F14" s="29"/>
      <c r="G14" s="33"/>
      <c r="H14" s="34" t="s">
        <v>284</v>
      </c>
      <c r="I14" s="33" t="s">
        <v>236</v>
      </c>
      <c r="J14" s="33"/>
      <c r="K14" s="33"/>
      <c r="L14" s="33"/>
      <c r="M14" s="33"/>
    </row>
    <row r="15" spans="1:14">
      <c r="A15" s="29"/>
      <c r="B15" s="29"/>
      <c r="C15" s="29"/>
      <c r="D15" s="29"/>
      <c r="E15" s="29"/>
      <c r="F15" s="29"/>
      <c r="G15" s="33"/>
      <c r="H15" s="34" t="s">
        <v>284</v>
      </c>
      <c r="I15" s="33" t="s">
        <v>243</v>
      </c>
      <c r="J15" s="33"/>
      <c r="K15" s="33"/>
      <c r="L15" s="33"/>
      <c r="M15" s="33"/>
    </row>
    <row r="16" spans="1:14">
      <c r="A16" t="s">
        <v>297</v>
      </c>
      <c r="B16" t="s">
        <v>281</v>
      </c>
      <c r="C16" t="s">
        <v>282</v>
      </c>
      <c r="D16" t="s">
        <v>289</v>
      </c>
      <c r="E16" t="s">
        <v>287</v>
      </c>
      <c r="F16" t="s">
        <v>283</v>
      </c>
      <c r="G16" s="31" t="str">
        <f>+'Field Registry'!C16</f>
        <v>PropertySubtype</v>
      </c>
      <c r="H16" s="32" t="s">
        <v>284</v>
      </c>
      <c r="I16" s="31" t="str">
        <f>+'Dropdown Lists'!C4</f>
        <v>Mixed Use</v>
      </c>
      <c r="J16" s="31"/>
      <c r="K16" s="31" t="s">
        <v>87</v>
      </c>
      <c r="L16" s="31" t="s">
        <v>298</v>
      </c>
      <c r="M16" s="31" t="s">
        <v>285</v>
      </c>
    </row>
    <row r="17" spans="1:14">
      <c r="A17" t="s">
        <v>299</v>
      </c>
      <c r="B17" t="s">
        <v>300</v>
      </c>
      <c r="C17" t="s">
        <v>301</v>
      </c>
      <c r="D17" t="s">
        <v>289</v>
      </c>
      <c r="E17" t="s">
        <v>287</v>
      </c>
      <c r="F17" t="s">
        <v>302</v>
      </c>
      <c r="G17" s="27" t="str">
        <f>+'Field Registry'!C19</f>
        <v>StatusofImprovements</v>
      </c>
      <c r="H17" s="28" t="s">
        <v>284</v>
      </c>
      <c r="I17" s="27" t="str">
        <f>+'Dropdown Lists'!I2</f>
        <v>Existing - Completed</v>
      </c>
      <c r="J17" s="27"/>
      <c r="K17" s="27" t="str">
        <f>+'Field Registry'!C22</f>
        <v>ValueScenarios</v>
      </c>
      <c r="L17" s="27" t="str">
        <f>+'Dropdown Lists'!J6</f>
        <v>As Stabilized</v>
      </c>
      <c r="M17" s="27" t="s">
        <v>285</v>
      </c>
      <c r="N17" s="27"/>
    </row>
    <row r="18" spans="1:14">
      <c r="A18" t="s">
        <v>303</v>
      </c>
      <c r="B18" t="s">
        <v>300</v>
      </c>
      <c r="C18" t="s">
        <v>301</v>
      </c>
      <c r="D18" t="s">
        <v>289</v>
      </c>
      <c r="E18" t="s">
        <v>287</v>
      </c>
      <c r="F18" t="s">
        <v>302</v>
      </c>
      <c r="G18" s="27"/>
      <c r="H18" s="28" t="s">
        <v>284</v>
      </c>
      <c r="I18" s="27" t="str">
        <f>+'Dropdown Lists'!I3</f>
        <v>Existing - Renovated</v>
      </c>
      <c r="J18" s="27"/>
      <c r="K18" s="27"/>
      <c r="L18" s="27" t="str">
        <f>+'Dropdown Lists'!J6</f>
        <v>As Stabilized</v>
      </c>
      <c r="M18" s="27" t="s">
        <v>285</v>
      </c>
      <c r="N18" s="27"/>
    </row>
    <row r="19" spans="1:14">
      <c r="A19" t="s">
        <v>304</v>
      </c>
      <c r="B19" t="s">
        <v>300</v>
      </c>
      <c r="C19" t="s">
        <v>301</v>
      </c>
      <c r="D19" t="s">
        <v>289</v>
      </c>
      <c r="E19" t="s">
        <v>287</v>
      </c>
      <c r="F19" t="s">
        <v>302</v>
      </c>
      <c r="G19" s="27"/>
      <c r="H19" s="28" t="s">
        <v>284</v>
      </c>
      <c r="I19" s="27" t="str">
        <f>+'Dropdown Lists'!I4</f>
        <v>Existing - Under Renovation</v>
      </c>
      <c r="J19" s="27"/>
      <c r="K19" s="27"/>
      <c r="L19" s="27" t="s">
        <v>305</v>
      </c>
      <c r="M19" s="27" t="s">
        <v>285</v>
      </c>
      <c r="N19" s="27"/>
    </row>
    <row r="20" spans="1:14">
      <c r="A20" t="s">
        <v>306</v>
      </c>
      <c r="B20" t="s">
        <v>300</v>
      </c>
      <c r="C20" t="s">
        <v>301</v>
      </c>
      <c r="D20" t="s">
        <v>289</v>
      </c>
      <c r="E20" t="s">
        <v>287</v>
      </c>
      <c r="F20" t="s">
        <v>302</v>
      </c>
      <c r="G20" s="27"/>
      <c r="H20" s="28" t="s">
        <v>284</v>
      </c>
      <c r="I20" s="27" t="str">
        <f>+I19</f>
        <v>Existing - Under Renovation</v>
      </c>
      <c r="J20" s="27"/>
      <c r="K20" s="27"/>
      <c r="L20" s="27" t="s">
        <v>218</v>
      </c>
      <c r="M20" s="27" t="s">
        <v>285</v>
      </c>
      <c r="N20" s="27"/>
    </row>
    <row r="21" spans="1:14">
      <c r="A21" t="s">
        <v>307</v>
      </c>
      <c r="B21" t="s">
        <v>300</v>
      </c>
      <c r="C21" t="s">
        <v>301</v>
      </c>
      <c r="D21" t="s">
        <v>289</v>
      </c>
      <c r="E21" t="s">
        <v>287</v>
      </c>
      <c r="F21" t="s">
        <v>302</v>
      </c>
      <c r="G21" s="27"/>
      <c r="H21" s="28" t="s">
        <v>284</v>
      </c>
      <c r="I21" s="27" t="str">
        <f>+'Dropdown Lists'!I5</f>
        <v>Existing - To Be Renovated</v>
      </c>
      <c r="J21" s="27"/>
      <c r="K21" s="27"/>
      <c r="L21" s="27" t="s">
        <v>305</v>
      </c>
      <c r="M21" s="27" t="s">
        <v>285</v>
      </c>
      <c r="N21" s="27"/>
    </row>
    <row r="22" spans="1:14">
      <c r="A22" t="s">
        <v>308</v>
      </c>
      <c r="B22" t="s">
        <v>300</v>
      </c>
      <c r="C22" t="s">
        <v>301</v>
      </c>
      <c r="D22" t="s">
        <v>289</v>
      </c>
      <c r="E22" t="s">
        <v>287</v>
      </c>
      <c r="F22" t="s">
        <v>302</v>
      </c>
      <c r="G22" s="27"/>
      <c r="H22" s="28" t="s">
        <v>284</v>
      </c>
      <c r="I22" s="27" t="str">
        <f>+'Dropdown Lists'!I5</f>
        <v>Existing - To Be Renovated</v>
      </c>
      <c r="J22" s="27"/>
      <c r="K22" s="27"/>
      <c r="L22" s="27" t="str">
        <f>+L20</f>
        <v>As If Complete &amp; Stabilized</v>
      </c>
      <c r="M22" s="27" t="s">
        <v>285</v>
      </c>
      <c r="N22" s="27"/>
    </row>
    <row r="23" spans="1:14">
      <c r="A23" t="s">
        <v>309</v>
      </c>
      <c r="B23" t="s">
        <v>300</v>
      </c>
      <c r="C23" t="s">
        <v>301</v>
      </c>
      <c r="D23" t="s">
        <v>289</v>
      </c>
      <c r="E23" t="s">
        <v>287</v>
      </c>
      <c r="F23" t="s">
        <v>302</v>
      </c>
      <c r="G23" s="27"/>
      <c r="H23" s="28" t="s">
        <v>284</v>
      </c>
      <c r="I23" s="27" t="str">
        <f>+'Dropdown Lists'!I6</f>
        <v>Proposed - Vacant Land</v>
      </c>
      <c r="J23" s="27"/>
      <c r="K23" s="27"/>
      <c r="L23" s="27" t="s">
        <v>182</v>
      </c>
      <c r="M23" s="27" t="s">
        <v>285</v>
      </c>
      <c r="N23" s="27"/>
    </row>
    <row r="24" spans="1:14">
      <c r="A24" t="s">
        <v>310</v>
      </c>
      <c r="B24" t="s">
        <v>300</v>
      </c>
      <c r="C24" t="s">
        <v>301</v>
      </c>
      <c r="D24" t="s">
        <v>289</v>
      </c>
      <c r="E24" t="s">
        <v>287</v>
      </c>
      <c r="F24" t="s">
        <v>302</v>
      </c>
      <c r="G24" s="27"/>
      <c r="H24" s="28" t="s">
        <v>284</v>
      </c>
      <c r="I24" s="27" t="str">
        <f>+I23</f>
        <v>Proposed - Vacant Land</v>
      </c>
      <c r="J24" s="27"/>
      <c r="K24" s="27"/>
      <c r="L24" s="27" t="s">
        <v>311</v>
      </c>
      <c r="M24" s="27" t="s">
        <v>285</v>
      </c>
      <c r="N24" s="27"/>
    </row>
    <row r="25" spans="1:14">
      <c r="A25" t="s">
        <v>312</v>
      </c>
      <c r="B25" t="s">
        <v>300</v>
      </c>
      <c r="C25" t="s">
        <v>301</v>
      </c>
      <c r="D25" t="s">
        <v>289</v>
      </c>
      <c r="E25" t="s">
        <v>287</v>
      </c>
      <c r="F25" t="s">
        <v>302</v>
      </c>
      <c r="G25" s="27"/>
      <c r="H25" s="28" t="s">
        <v>284</v>
      </c>
      <c r="I25" s="27" t="str">
        <f>+'Dropdown Lists'!I7</f>
        <v xml:space="preserve">Proposed - Improved Land (Demolition Required) </v>
      </c>
      <c r="J25" s="27"/>
      <c r="K25" s="27"/>
      <c r="L25" s="27" t="s">
        <v>313</v>
      </c>
      <c r="M25" s="27" t="s">
        <v>285</v>
      </c>
      <c r="N25" s="27"/>
    </row>
    <row r="26" spans="1:14">
      <c r="A26" t="s">
        <v>314</v>
      </c>
      <c r="B26" t="s">
        <v>300</v>
      </c>
      <c r="C26" t="s">
        <v>301</v>
      </c>
      <c r="D26" t="s">
        <v>289</v>
      </c>
      <c r="E26" t="s">
        <v>287</v>
      </c>
      <c r="F26" t="s">
        <v>302</v>
      </c>
      <c r="G26" s="27"/>
      <c r="H26" s="28" t="s">
        <v>284</v>
      </c>
      <c r="I26" s="27" t="str">
        <f>+I25</f>
        <v xml:space="preserve">Proposed - Improved Land (Demolition Required) </v>
      </c>
      <c r="J26" s="27"/>
      <c r="K26" s="27"/>
      <c r="L26" s="27" t="s">
        <v>218</v>
      </c>
      <c r="M26" s="27" t="s">
        <v>285</v>
      </c>
      <c r="N26" s="27"/>
    </row>
    <row r="27" spans="1:14">
      <c r="A27" t="s">
        <v>315</v>
      </c>
      <c r="B27" t="s">
        <v>300</v>
      </c>
      <c r="C27" t="s">
        <v>301</v>
      </c>
      <c r="D27" t="s">
        <v>289</v>
      </c>
      <c r="E27" t="s">
        <v>287</v>
      </c>
      <c r="F27" t="s">
        <v>302</v>
      </c>
      <c r="G27" s="27"/>
      <c r="H27" s="28" t="s">
        <v>284</v>
      </c>
      <c r="I27" s="27" t="str">
        <f>+'Dropdown Lists'!I8</f>
        <v>Proposed - Under Construction</v>
      </c>
      <c r="J27" s="27"/>
      <c r="K27" s="27"/>
      <c r="L27" s="27" t="s">
        <v>313</v>
      </c>
      <c r="M27" s="27" t="s">
        <v>285</v>
      </c>
      <c r="N27" s="27"/>
    </row>
    <row r="28" spans="1:14">
      <c r="A28" t="s">
        <v>316</v>
      </c>
      <c r="B28" t="s">
        <v>300</v>
      </c>
      <c r="C28" t="s">
        <v>301</v>
      </c>
      <c r="D28" t="s">
        <v>289</v>
      </c>
      <c r="E28" t="s">
        <v>287</v>
      </c>
      <c r="F28" t="s">
        <v>302</v>
      </c>
      <c r="G28" s="27"/>
      <c r="H28" s="28" t="s">
        <v>284</v>
      </c>
      <c r="I28" s="27" t="str">
        <f>+I27</f>
        <v>Proposed - Under Construction</v>
      </c>
      <c r="J28" s="27"/>
      <c r="K28" s="27"/>
      <c r="L28" s="27" t="s">
        <v>218</v>
      </c>
      <c r="M28" s="27" t="s">
        <v>285</v>
      </c>
      <c r="N28" s="27"/>
    </row>
    <row r="29" spans="1:14">
      <c r="A29" t="s">
        <v>317</v>
      </c>
      <c r="B29" t="s">
        <v>300</v>
      </c>
      <c r="C29" t="s">
        <v>301</v>
      </c>
      <c r="D29" t="s">
        <v>289</v>
      </c>
      <c r="E29" t="s">
        <v>287</v>
      </c>
      <c r="F29" t="s">
        <v>283</v>
      </c>
      <c r="G29" t="s">
        <v>91</v>
      </c>
      <c r="H29" s="21" t="s">
        <v>284</v>
      </c>
      <c r="I29" t="s">
        <v>214</v>
      </c>
      <c r="L29" t="s">
        <v>264</v>
      </c>
      <c r="M29" t="s">
        <v>285</v>
      </c>
    </row>
    <row r="30" spans="1:14">
      <c r="A30" t="s">
        <v>318</v>
      </c>
      <c r="B30" t="s">
        <v>319</v>
      </c>
      <c r="C30" t="s">
        <v>320</v>
      </c>
      <c r="D30" t="s">
        <v>289</v>
      </c>
      <c r="E30" t="s">
        <v>287</v>
      </c>
      <c r="F30" t="s">
        <v>302</v>
      </c>
      <c r="G30" t="str">
        <f>+'Field Registry'!C22</f>
        <v>ValueScenarios</v>
      </c>
      <c r="H30" s="21" t="s">
        <v>284</v>
      </c>
      <c r="I30" t="str">
        <f>+'Dropdown Lists'!J6</f>
        <v>As Stabilized</v>
      </c>
      <c r="K30" t="str">
        <f>+'Field Registry'!C23</f>
        <v>ApproachestoValue</v>
      </c>
      <c r="L30" t="s">
        <v>321</v>
      </c>
      <c r="M30" t="s">
        <v>285</v>
      </c>
    </row>
    <row r="31" spans="1:14">
      <c r="A31" t="s">
        <v>322</v>
      </c>
      <c r="B31" t="s">
        <v>319</v>
      </c>
      <c r="C31" t="s">
        <v>320</v>
      </c>
      <c r="D31" t="s">
        <v>289</v>
      </c>
      <c r="E31" t="s">
        <v>287</v>
      </c>
      <c r="F31" t="s">
        <v>302</v>
      </c>
      <c r="G31" t="str">
        <f>+G30</f>
        <v>ValueScenarios</v>
      </c>
      <c r="H31" s="21" t="s">
        <v>284</v>
      </c>
      <c r="I31" t="s">
        <v>239</v>
      </c>
      <c r="K31" t="str">
        <f>+K30</f>
        <v>ApproachestoValue</v>
      </c>
      <c r="L31" t="s">
        <v>231</v>
      </c>
      <c r="M31" t="s">
        <v>285</v>
      </c>
    </row>
    <row r="32" spans="1:14">
      <c r="A32" t="s">
        <v>323</v>
      </c>
      <c r="B32" t="s">
        <v>319</v>
      </c>
      <c r="C32" t="s">
        <v>320</v>
      </c>
      <c r="D32" t="s">
        <v>289</v>
      </c>
      <c r="E32" t="s">
        <v>287</v>
      </c>
      <c r="F32" t="s">
        <v>302</v>
      </c>
      <c r="G32" t="str">
        <f>+G31</f>
        <v>ValueScenarios</v>
      </c>
      <c r="H32" s="21" t="s">
        <v>284</v>
      </c>
      <c r="I32" t="s">
        <v>182</v>
      </c>
      <c r="K32" t="str">
        <f>+K31</f>
        <v>ApproachestoValue</v>
      </c>
      <c r="L32" t="str">
        <f>+'Dropdown Lists'!K2</f>
        <v>Land Direct Comparison Approach</v>
      </c>
      <c r="M32" t="s">
        <v>285</v>
      </c>
    </row>
    <row r="33" spans="1:13">
      <c r="A33" t="s">
        <v>324</v>
      </c>
      <c r="B33" t="s">
        <v>319</v>
      </c>
      <c r="C33" t="s">
        <v>320</v>
      </c>
      <c r="D33" t="s">
        <v>289</v>
      </c>
      <c r="E33" t="s">
        <v>287</v>
      </c>
      <c r="F33" t="s">
        <v>302</v>
      </c>
      <c r="G33" t="str">
        <f>+G32</f>
        <v>ValueScenarios</v>
      </c>
      <c r="H33" s="21" t="s">
        <v>284</v>
      </c>
      <c r="I33" t="str">
        <f>+'Dropdown Lists'!J3</f>
        <v>As If Vacant Land</v>
      </c>
      <c r="K33" t="str">
        <f>+K32</f>
        <v>ApproachestoValue</v>
      </c>
      <c r="L33" t="str">
        <f>+L32</f>
        <v>Land Direct Comparison Approach</v>
      </c>
      <c r="M33" t="s">
        <v>285</v>
      </c>
    </row>
    <row r="34" spans="1:13">
      <c r="A34" t="s">
        <v>325</v>
      </c>
      <c r="B34" t="s">
        <v>319</v>
      </c>
      <c r="C34" t="s">
        <v>320</v>
      </c>
      <c r="D34" t="s">
        <v>289</v>
      </c>
      <c r="E34" t="s">
        <v>287</v>
      </c>
      <c r="F34" t="s">
        <v>302</v>
      </c>
      <c r="G34" t="str">
        <f>+G33</f>
        <v>ValueScenarios</v>
      </c>
      <c r="H34" s="21" t="s">
        <v>284</v>
      </c>
      <c r="I34" t="str">
        <f>+'Dropdown Lists'!J4</f>
        <v>As If Complete &amp; Stabilized</v>
      </c>
      <c r="K34" t="str">
        <f>+K33</f>
        <v>ApproachestoValue</v>
      </c>
      <c r="L34" t="str">
        <f>+'Dropdown Lists'!K3</f>
        <v>Cost Approach</v>
      </c>
      <c r="M34" t="s">
        <v>285</v>
      </c>
    </row>
    <row r="39" spans="1:13" ht="115.15">
      <c r="C39" t="str">
        <f>+Types!L7</f>
        <v>EA / HC Logic</v>
      </c>
      <c r="F39" t="s">
        <v>326</v>
      </c>
      <c r="G39" s="38" t="s">
        <v>94</v>
      </c>
      <c r="H39" s="38"/>
      <c r="I39" s="38" t="str">
        <f>+'Dropdown Lists'!J3</f>
        <v>As If Vacant Land</v>
      </c>
      <c r="J39" s="38"/>
      <c r="K39" s="38" t="s">
        <v>327</v>
      </c>
      <c r="L39" s="38" t="s">
        <v>328</v>
      </c>
      <c r="M39" s="19" t="s">
        <v>329</v>
      </c>
    </row>
    <row r="40" spans="1:13">
      <c r="C40" t="str">
        <f>+C39</f>
        <v>EA / HC Logic</v>
      </c>
      <c r="F40" t="s">
        <v>326</v>
      </c>
      <c r="G40" t="str">
        <f>+G39</f>
        <v>ValueScenarios</v>
      </c>
      <c r="I40" t="str">
        <f>+'Dropdown Lists'!J6</f>
        <v>As Stabilized</v>
      </c>
      <c r="K40" t="str">
        <f>+K39</f>
        <v xml:space="preserve">EA Text </v>
      </c>
      <c r="L40" t="str">
        <f>+L39</f>
        <v>N/A</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BB4F-1A19-414D-800E-B2B85E5281DE}">
  <dimension ref="A1:E3"/>
  <sheetViews>
    <sheetView workbookViewId="0">
      <selection activeCell="D2" sqref="D2"/>
    </sheetView>
  </sheetViews>
  <sheetFormatPr defaultRowHeight="14.45"/>
  <cols>
    <col min="1" max="1" width="11.140625" bestFit="1" customWidth="1"/>
    <col min="2" max="2" width="23.42578125" hidden="1" customWidth="1"/>
    <col min="3" max="3" width="21.7109375" hidden="1" customWidth="1"/>
    <col min="4" max="4" width="56.5703125" customWidth="1"/>
    <col min="5" max="5" width="12.85546875" customWidth="1"/>
  </cols>
  <sheetData>
    <row r="1" spans="1:5">
      <c r="A1" s="14" t="s">
        <v>330</v>
      </c>
      <c r="B1" s="14" t="s">
        <v>331</v>
      </c>
      <c r="C1" s="14" t="s">
        <v>332</v>
      </c>
      <c r="D1" s="14" t="s">
        <v>45</v>
      </c>
      <c r="E1" s="14" t="s">
        <v>333</v>
      </c>
    </row>
    <row r="2" spans="1:5" s="18" customFormat="1" ht="86.45">
      <c r="A2" s="18" t="s">
        <v>334</v>
      </c>
      <c r="B2" s="18" t="s">
        <v>335</v>
      </c>
      <c r="C2" s="18" t="s">
        <v>336</v>
      </c>
      <c r="D2" s="19" t="s">
        <v>329</v>
      </c>
      <c r="E2" s="18" t="s">
        <v>337</v>
      </c>
    </row>
    <row r="3" spans="1:5" s="18" customFormat="1" ht="86.45">
      <c r="A3" s="18" t="s">
        <v>338</v>
      </c>
      <c r="B3" s="18" t="s">
        <v>335</v>
      </c>
      <c r="C3" s="18" t="s">
        <v>336</v>
      </c>
      <c r="D3" s="19" t="s">
        <v>329</v>
      </c>
      <c r="E3" s="18" t="s">
        <v>337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6869-5F8D-4B10-AED8-DA8360A29C93}">
  <dimension ref="A1:L28"/>
  <sheetViews>
    <sheetView tabSelected="1" workbookViewId="0">
      <selection activeCell="G4" sqref="G4"/>
    </sheetView>
  </sheetViews>
  <sheetFormatPr defaultRowHeight="14.45"/>
  <cols>
    <col min="1" max="1" width="15" customWidth="1"/>
    <col min="2" max="2" width="27.140625" customWidth="1"/>
    <col min="3" max="3" width="50.7109375" customWidth="1"/>
    <col min="4" max="4" width="6.42578125" customWidth="1"/>
    <col min="6" max="7" width="20.28515625" customWidth="1"/>
    <col min="8" max="8" width="12.7109375" customWidth="1"/>
    <col min="9" max="9" width="28.42578125" customWidth="1"/>
    <col min="10" max="10" width="39" customWidth="1"/>
    <col min="15" max="15" width="46.42578125" customWidth="1"/>
    <col min="16" max="16" width="35.28515625" customWidth="1"/>
  </cols>
  <sheetData>
    <row r="1" spans="1:12">
      <c r="A1" s="15" t="s">
        <v>275</v>
      </c>
      <c r="B1" s="15" t="s">
        <v>339</v>
      </c>
      <c r="C1" s="15" t="s">
        <v>340</v>
      </c>
      <c r="D1" s="15"/>
      <c r="F1" s="15" t="s">
        <v>271</v>
      </c>
      <c r="G1" s="15"/>
      <c r="H1" s="24" t="s">
        <v>272</v>
      </c>
      <c r="I1" s="17" t="s">
        <v>341</v>
      </c>
      <c r="J1" s="22" t="s">
        <v>342</v>
      </c>
      <c r="L1" s="22" t="s">
        <v>343</v>
      </c>
    </row>
    <row r="2" spans="1:12">
      <c r="A2" s="17" t="s">
        <v>284</v>
      </c>
      <c r="B2" s="16" t="s">
        <v>344</v>
      </c>
      <c r="C2" s="16" t="s">
        <v>345</v>
      </c>
      <c r="D2" s="16"/>
      <c r="F2" s="16" t="s">
        <v>346</v>
      </c>
      <c r="G2" s="16" t="s">
        <v>347</v>
      </c>
      <c r="H2" t="s">
        <v>287</v>
      </c>
      <c r="I2" t="s">
        <v>283</v>
      </c>
      <c r="J2" t="s">
        <v>348</v>
      </c>
      <c r="L2" t="s">
        <v>349</v>
      </c>
    </row>
    <row r="3" spans="1:12">
      <c r="A3" s="17" t="s">
        <v>350</v>
      </c>
      <c r="B3" s="16" t="s">
        <v>351</v>
      </c>
      <c r="C3" s="16" t="s">
        <v>352</v>
      </c>
      <c r="D3" s="16"/>
      <c r="F3" s="16" t="s">
        <v>353</v>
      </c>
      <c r="G3" s="16" t="s">
        <v>354</v>
      </c>
      <c r="H3" t="s">
        <v>355</v>
      </c>
      <c r="I3" t="s">
        <v>356</v>
      </c>
      <c r="J3" t="s">
        <v>357</v>
      </c>
      <c r="L3" t="s">
        <v>81</v>
      </c>
    </row>
    <row r="4" spans="1:12">
      <c r="A4" s="17" t="s">
        <v>358</v>
      </c>
      <c r="B4" s="16" t="s">
        <v>359</v>
      </c>
      <c r="C4" s="16" t="s">
        <v>360</v>
      </c>
      <c r="D4" s="16"/>
      <c r="F4" s="16" t="s">
        <v>289</v>
      </c>
      <c r="G4" s="16" t="s">
        <v>361</v>
      </c>
      <c r="I4" t="s">
        <v>362</v>
      </c>
      <c r="J4" t="s">
        <v>363</v>
      </c>
      <c r="L4" t="s">
        <v>364</v>
      </c>
    </row>
    <row r="5" spans="1:12">
      <c r="A5" s="17" t="s">
        <v>365</v>
      </c>
      <c r="B5" s="16" t="s">
        <v>366</v>
      </c>
      <c r="C5" s="16" t="s">
        <v>367</v>
      </c>
      <c r="D5" s="16"/>
      <c r="I5" t="s">
        <v>368</v>
      </c>
      <c r="J5" t="s">
        <v>369</v>
      </c>
      <c r="L5" t="s">
        <v>370</v>
      </c>
    </row>
    <row r="6" spans="1:12">
      <c r="A6" s="17" t="s">
        <v>371</v>
      </c>
      <c r="B6" s="16" t="s">
        <v>372</v>
      </c>
      <c r="C6" s="16" t="s">
        <v>373</v>
      </c>
      <c r="D6" s="16"/>
      <c r="I6" t="s">
        <v>374</v>
      </c>
      <c r="L6" t="s">
        <v>98</v>
      </c>
    </row>
    <row r="7" spans="1:12">
      <c r="A7" s="17" t="s">
        <v>375</v>
      </c>
      <c r="B7" s="16" t="s">
        <v>376</v>
      </c>
      <c r="C7" s="16" t="s">
        <v>377</v>
      </c>
      <c r="D7" s="16"/>
      <c r="I7" t="s">
        <v>378</v>
      </c>
      <c r="L7" t="s">
        <v>379</v>
      </c>
    </row>
    <row r="8" spans="1:12">
      <c r="A8" s="17" t="s">
        <v>380</v>
      </c>
      <c r="B8" s="16" t="s">
        <v>381</v>
      </c>
      <c r="C8" s="16" t="s">
        <v>382</v>
      </c>
      <c r="D8" s="16"/>
      <c r="I8" t="s">
        <v>383</v>
      </c>
      <c r="L8" t="s">
        <v>384</v>
      </c>
    </row>
    <row r="9" spans="1:12">
      <c r="A9" s="17" t="s">
        <v>385</v>
      </c>
      <c r="B9" s="16" t="s">
        <v>386</v>
      </c>
      <c r="C9" s="16" t="s">
        <v>387</v>
      </c>
      <c r="D9" s="16"/>
      <c r="I9" t="s">
        <v>388</v>
      </c>
      <c r="L9" t="s">
        <v>389</v>
      </c>
    </row>
    <row r="10" spans="1:12">
      <c r="A10" s="17" t="s">
        <v>390</v>
      </c>
      <c r="B10" s="16" t="s">
        <v>391</v>
      </c>
      <c r="C10" s="16" t="s">
        <v>392</v>
      </c>
      <c r="D10" s="16"/>
      <c r="L10" t="s">
        <v>393</v>
      </c>
    </row>
    <row r="11" spans="1:12">
      <c r="A11" s="17" t="s">
        <v>394</v>
      </c>
      <c r="B11" s="16" t="s">
        <v>395</v>
      </c>
      <c r="C11" s="16" t="s">
        <v>396</v>
      </c>
      <c r="D11" s="16"/>
      <c r="L11" t="s">
        <v>397</v>
      </c>
    </row>
    <row r="12" spans="1:12">
      <c r="A12" s="17" t="s">
        <v>398</v>
      </c>
      <c r="B12" s="16" t="s">
        <v>399</v>
      </c>
      <c r="C12" s="16" t="s">
        <v>400</v>
      </c>
      <c r="D12" s="16"/>
      <c r="L12" t="s">
        <v>401</v>
      </c>
    </row>
    <row r="13" spans="1:12">
      <c r="L13" t="s">
        <v>402</v>
      </c>
    </row>
    <row r="14" spans="1:12">
      <c r="L14" t="s">
        <v>403</v>
      </c>
    </row>
    <row r="15" spans="1:12">
      <c r="L15" t="s">
        <v>404</v>
      </c>
    </row>
    <row r="16" spans="1:12">
      <c r="L16" t="s">
        <v>405</v>
      </c>
    </row>
    <row r="18" spans="5:10" ht="15.6">
      <c r="E18" s="23" t="s">
        <v>406</v>
      </c>
    </row>
    <row r="19" spans="5:10" ht="15">
      <c r="E19" s="3" t="s">
        <v>407</v>
      </c>
      <c r="I19" s="3" t="s">
        <v>383</v>
      </c>
    </row>
    <row r="20" spans="5:10" ht="15">
      <c r="E20" s="3" t="s">
        <v>408</v>
      </c>
      <c r="I20" s="3" t="s">
        <v>388</v>
      </c>
    </row>
    <row r="21" spans="5:10" ht="15">
      <c r="E21" s="3" t="s">
        <v>409</v>
      </c>
      <c r="I21" s="3" t="s">
        <v>410</v>
      </c>
    </row>
    <row r="22" spans="5:10" ht="15">
      <c r="E22" s="3" t="s">
        <v>374</v>
      </c>
      <c r="I22" t="s">
        <v>411</v>
      </c>
      <c r="J22" t="s">
        <v>412</v>
      </c>
    </row>
    <row r="23" spans="5:10" ht="15">
      <c r="E23" s="3" t="s">
        <v>368</v>
      </c>
      <c r="I23" t="s">
        <v>413</v>
      </c>
      <c r="J23" t="s">
        <v>414</v>
      </c>
    </row>
    <row r="24" spans="5:10" ht="15">
      <c r="E24" s="3" t="s">
        <v>378</v>
      </c>
    </row>
    <row r="25" spans="5:10" ht="15">
      <c r="E25" s="3" t="s">
        <v>383</v>
      </c>
      <c r="I25" t="s">
        <v>415</v>
      </c>
      <c r="J25" t="s">
        <v>416</v>
      </c>
    </row>
    <row r="26" spans="5:10" ht="15">
      <c r="E26" s="3" t="s">
        <v>388</v>
      </c>
      <c r="I26" t="s">
        <v>417</v>
      </c>
      <c r="J26" t="s">
        <v>418</v>
      </c>
    </row>
    <row r="27" spans="5:10" ht="15">
      <c r="E27" s="3" t="s">
        <v>410</v>
      </c>
      <c r="I27" t="s">
        <v>419</v>
      </c>
      <c r="J27" t="s">
        <v>420</v>
      </c>
    </row>
    <row r="28" spans="5:10">
      <c r="I28" t="s">
        <v>421</v>
      </c>
      <c r="J28" t="s">
        <v>422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0D3EF-DD11-497C-9244-C7D5B3C9BE66}">
  <dimension ref="A1:L134"/>
  <sheetViews>
    <sheetView workbookViewId="0">
      <selection activeCell="F7" sqref="F7"/>
    </sheetView>
  </sheetViews>
  <sheetFormatPr defaultRowHeight="14.45"/>
  <cols>
    <col min="1" max="1" width="23.42578125" customWidth="1"/>
    <col min="2" max="2" width="23.7109375" bestFit="1" customWidth="1"/>
    <col min="3" max="3" width="26.7109375" bestFit="1" customWidth="1"/>
    <col min="4" max="4" width="26.28515625" bestFit="1" customWidth="1"/>
    <col min="5" max="5" width="26.7109375" bestFit="1" customWidth="1"/>
    <col min="6" max="6" width="26.85546875" customWidth="1"/>
    <col min="7" max="7" width="27.85546875" bestFit="1" customWidth="1"/>
    <col min="8" max="8" width="27.28515625" bestFit="1" customWidth="1"/>
    <col min="9" max="9" width="27.42578125" bestFit="1" customWidth="1"/>
    <col min="10" max="10" width="26.85546875" bestFit="1" customWidth="1"/>
    <col min="11" max="11" width="27.42578125" bestFit="1" customWidth="1"/>
    <col min="12" max="12" width="29.85546875" bestFit="1" customWidth="1"/>
  </cols>
  <sheetData>
    <row r="1" spans="1:12" ht="15.6">
      <c r="A1" s="6" t="s">
        <v>423</v>
      </c>
      <c r="B1" s="6" t="s">
        <v>424</v>
      </c>
      <c r="C1" s="6" t="s">
        <v>425</v>
      </c>
      <c r="D1" s="6" t="s">
        <v>426</v>
      </c>
      <c r="E1" s="6" t="s">
        <v>427</v>
      </c>
      <c r="F1" s="6" t="s">
        <v>428</v>
      </c>
      <c r="G1" s="6" t="s">
        <v>429</v>
      </c>
      <c r="H1" s="6" t="s">
        <v>430</v>
      </c>
      <c r="I1" s="6" t="s">
        <v>431</v>
      </c>
      <c r="J1" s="6" t="s">
        <v>432</v>
      </c>
      <c r="K1" s="6" t="s">
        <v>433</v>
      </c>
      <c r="L1" s="6" t="s">
        <v>434</v>
      </c>
    </row>
    <row r="2" spans="1:12">
      <c r="A2" s="20" t="s">
        <v>435</v>
      </c>
      <c r="B2" s="20" t="s">
        <v>436</v>
      </c>
      <c r="C2" s="20" t="s">
        <v>437</v>
      </c>
      <c r="D2" s="20" t="s">
        <v>436</v>
      </c>
      <c r="E2" s="20" t="s">
        <v>438</v>
      </c>
      <c r="F2" s="20" t="s">
        <v>436</v>
      </c>
      <c r="G2" s="20" t="s">
        <v>436</v>
      </c>
      <c r="H2" s="20" t="s">
        <v>436</v>
      </c>
      <c r="I2" s="20" t="s">
        <v>436</v>
      </c>
      <c r="J2" s="20" t="s">
        <v>436</v>
      </c>
      <c r="K2" t="s">
        <v>436</v>
      </c>
      <c r="L2" t="s">
        <v>436</v>
      </c>
    </row>
    <row r="3" spans="1:12">
      <c r="A3" s="20" t="s">
        <v>18</v>
      </c>
      <c r="B3" s="20" t="s">
        <v>23</v>
      </c>
      <c r="C3" s="20" t="s">
        <v>439</v>
      </c>
      <c r="D3" s="20" t="s">
        <v>440</v>
      </c>
      <c r="E3" s="20" t="s">
        <v>28</v>
      </c>
      <c r="F3" s="20" t="s">
        <v>28</v>
      </c>
      <c r="G3" s="20" t="s">
        <v>441</v>
      </c>
      <c r="H3" s="20" t="s">
        <v>28</v>
      </c>
      <c r="I3" s="20" t="s">
        <v>442</v>
      </c>
      <c r="J3" s="20" t="s">
        <v>442</v>
      </c>
      <c r="K3" t="s">
        <v>443</v>
      </c>
      <c r="L3" t="s">
        <v>23</v>
      </c>
    </row>
    <row r="4" spans="1:12">
      <c r="A4" s="20" t="s">
        <v>26</v>
      </c>
      <c r="B4" s="20" t="s">
        <v>28</v>
      </c>
      <c r="C4" s="20" t="s">
        <v>444</v>
      </c>
      <c r="D4" s="20" t="s">
        <v>445</v>
      </c>
      <c r="E4" s="20" t="s">
        <v>67</v>
      </c>
      <c r="F4" s="20" t="s">
        <v>68</v>
      </c>
      <c r="G4" s="20" t="s">
        <v>446</v>
      </c>
      <c r="H4" s="20" t="s">
        <v>446</v>
      </c>
      <c r="I4" s="20" t="s">
        <v>242</v>
      </c>
      <c r="J4" s="20" t="s">
        <v>447</v>
      </c>
      <c r="K4" t="s">
        <v>448</v>
      </c>
      <c r="L4" t="s">
        <v>449</v>
      </c>
    </row>
    <row r="5" spans="1:12">
      <c r="A5" s="20" t="s">
        <v>450</v>
      </c>
      <c r="B5" s="20" t="s">
        <v>451</v>
      </c>
      <c r="C5" s="20" t="s">
        <v>452</v>
      </c>
      <c r="D5" s="20" t="s">
        <v>453</v>
      </c>
      <c r="E5" s="20" t="s">
        <v>454</v>
      </c>
      <c r="F5" s="20" t="s">
        <v>455</v>
      </c>
      <c r="G5" s="20" t="s">
        <v>456</v>
      </c>
      <c r="H5" s="20" t="s">
        <v>457</v>
      </c>
      <c r="I5" s="20" t="s">
        <v>458</v>
      </c>
      <c r="J5" s="20" t="s">
        <v>459</v>
      </c>
      <c r="K5" t="s">
        <v>460</v>
      </c>
      <c r="L5" t="s">
        <v>461</v>
      </c>
    </row>
    <row r="6" spans="1:12">
      <c r="A6" s="20" t="s">
        <v>462</v>
      </c>
      <c r="B6" s="20" t="s">
        <v>462</v>
      </c>
      <c r="C6" s="20" t="s">
        <v>463</v>
      </c>
      <c r="D6" s="20" t="s">
        <v>464</v>
      </c>
      <c r="E6" s="20" t="s">
        <v>465</v>
      </c>
      <c r="F6" s="20" t="s">
        <v>466</v>
      </c>
      <c r="G6" s="20" t="s">
        <v>467</v>
      </c>
      <c r="H6" s="20" t="s">
        <v>468</v>
      </c>
      <c r="I6" s="20" t="s">
        <v>469</v>
      </c>
      <c r="J6" s="20" t="s">
        <v>469</v>
      </c>
      <c r="K6" t="s">
        <v>470</v>
      </c>
      <c r="L6" t="s">
        <v>471</v>
      </c>
    </row>
    <row r="7" spans="1:12">
      <c r="A7" s="20" t="s">
        <v>16</v>
      </c>
      <c r="B7" s="20" t="s">
        <v>16</v>
      </c>
      <c r="C7" s="20" t="s">
        <v>472</v>
      </c>
      <c r="D7" s="20" t="s">
        <v>473</v>
      </c>
      <c r="E7" s="20" t="s">
        <v>474</v>
      </c>
      <c r="F7" s="20" t="s">
        <v>475</v>
      </c>
      <c r="G7" s="20" t="s">
        <v>476</v>
      </c>
      <c r="H7" s="20" t="s">
        <v>477</v>
      </c>
      <c r="I7" s="20" t="s">
        <v>478</v>
      </c>
      <c r="J7" s="20" t="s">
        <v>479</v>
      </c>
      <c r="K7" t="s">
        <v>480</v>
      </c>
      <c r="L7" t="s">
        <v>481</v>
      </c>
    </row>
    <row r="8" spans="1:12">
      <c r="A8" s="20" t="s">
        <v>115</v>
      </c>
      <c r="B8" s="20" t="s">
        <v>115</v>
      </c>
      <c r="C8" s="20" t="s">
        <v>67</v>
      </c>
      <c r="D8" s="20" t="s">
        <v>68</v>
      </c>
      <c r="E8" s="20" t="s">
        <v>482</v>
      </c>
      <c r="F8" s="20" t="s">
        <v>483</v>
      </c>
      <c r="G8" s="20" t="s">
        <v>484</v>
      </c>
      <c r="H8" s="20" t="s">
        <v>485</v>
      </c>
      <c r="I8" s="20" t="s">
        <v>486</v>
      </c>
      <c r="J8" s="20" t="s">
        <v>486</v>
      </c>
      <c r="K8" t="s">
        <v>487</v>
      </c>
      <c r="L8" t="s">
        <v>488</v>
      </c>
    </row>
    <row r="9" spans="1:12">
      <c r="A9" s="20" t="s">
        <v>489</v>
      </c>
      <c r="B9" s="20" t="s">
        <v>489</v>
      </c>
      <c r="C9" s="20" t="s">
        <v>454</v>
      </c>
      <c r="D9" s="20" t="s">
        <v>455</v>
      </c>
      <c r="E9" s="20" t="s">
        <v>490</v>
      </c>
      <c r="F9" s="20" t="s">
        <v>491</v>
      </c>
      <c r="G9" s="20" t="s">
        <v>492</v>
      </c>
      <c r="H9" s="20" t="s">
        <v>493</v>
      </c>
      <c r="I9" s="20" t="s">
        <v>494</v>
      </c>
      <c r="J9" s="20" t="s">
        <v>494</v>
      </c>
      <c r="K9" t="s">
        <v>495</v>
      </c>
      <c r="L9" t="s">
        <v>495</v>
      </c>
    </row>
    <row r="10" spans="1:12">
      <c r="A10" s="20" t="s">
        <v>136</v>
      </c>
      <c r="B10" s="20" t="s">
        <v>135</v>
      </c>
      <c r="C10" s="20" t="s">
        <v>465</v>
      </c>
      <c r="D10" s="20" t="s">
        <v>466</v>
      </c>
      <c r="E10" s="20" t="s">
        <v>496</v>
      </c>
      <c r="F10" s="20" t="s">
        <v>497</v>
      </c>
      <c r="G10" s="20" t="s">
        <v>498</v>
      </c>
      <c r="H10" s="20" t="s">
        <v>499</v>
      </c>
      <c r="I10" s="20" t="s">
        <v>500</v>
      </c>
      <c r="J10" s="20" t="s">
        <v>501</v>
      </c>
      <c r="K10" t="s">
        <v>502</v>
      </c>
      <c r="L10" t="s">
        <v>502</v>
      </c>
    </row>
    <row r="11" spans="1:12">
      <c r="A11" s="20" t="s">
        <v>503</v>
      </c>
      <c r="B11" s="20" t="s">
        <v>504</v>
      </c>
      <c r="C11" s="20" t="s">
        <v>474</v>
      </c>
      <c r="D11" s="20" t="s">
        <v>475</v>
      </c>
      <c r="E11" s="20" t="s">
        <v>505</v>
      </c>
      <c r="F11" s="20" t="s">
        <v>506</v>
      </c>
      <c r="G11" s="20" t="s">
        <v>507</v>
      </c>
      <c r="H11" s="20" t="s">
        <v>508</v>
      </c>
      <c r="I11" s="20" t="s">
        <v>509</v>
      </c>
      <c r="J11" s="20" t="s">
        <v>510</v>
      </c>
      <c r="K11" t="s">
        <v>511</v>
      </c>
      <c r="L11" t="s">
        <v>511</v>
      </c>
    </row>
    <row r="12" spans="1:12">
      <c r="A12" s="20" t="s">
        <v>512</v>
      </c>
      <c r="B12" s="20" t="s">
        <v>513</v>
      </c>
      <c r="C12" s="20" t="s">
        <v>482</v>
      </c>
      <c r="D12" s="20" t="s">
        <v>483</v>
      </c>
      <c r="E12" s="20" t="s">
        <v>514</v>
      </c>
      <c r="F12" s="20" t="s">
        <v>515</v>
      </c>
      <c r="G12" s="20" t="s">
        <v>516</v>
      </c>
      <c r="H12" s="20" t="s">
        <v>517</v>
      </c>
      <c r="I12" s="20" t="s">
        <v>518</v>
      </c>
      <c r="J12" s="20" t="s">
        <v>519</v>
      </c>
      <c r="K12" t="s">
        <v>486</v>
      </c>
      <c r="L12" t="s">
        <v>486</v>
      </c>
    </row>
    <row r="13" spans="1:12">
      <c r="A13" s="20" t="s">
        <v>128</v>
      </c>
      <c r="B13" s="20" t="s">
        <v>127</v>
      </c>
      <c r="C13" s="20" t="s">
        <v>46</v>
      </c>
      <c r="D13" s="20" t="s">
        <v>47</v>
      </c>
      <c r="E13" s="20" t="s">
        <v>520</v>
      </c>
      <c r="F13" s="20" t="s">
        <v>520</v>
      </c>
      <c r="G13" s="20" t="s">
        <v>521</v>
      </c>
      <c r="H13" s="20" t="s">
        <v>522</v>
      </c>
      <c r="I13" s="20" t="s">
        <v>160</v>
      </c>
      <c r="J13" s="20" t="s">
        <v>523</v>
      </c>
      <c r="K13" t="s">
        <v>446</v>
      </c>
      <c r="L13" t="s">
        <v>446</v>
      </c>
    </row>
    <row r="14" spans="1:12">
      <c r="A14" s="20" t="s">
        <v>132</v>
      </c>
      <c r="B14" s="20" t="s">
        <v>131</v>
      </c>
      <c r="C14" s="20" t="s">
        <v>50</v>
      </c>
      <c r="D14" s="20" t="s">
        <v>51</v>
      </c>
      <c r="E14" s="20" t="s">
        <v>524</v>
      </c>
      <c r="F14" s="20" t="s">
        <v>524</v>
      </c>
      <c r="G14" s="20" t="s">
        <v>525</v>
      </c>
      <c r="H14" s="20" t="s">
        <v>526</v>
      </c>
      <c r="I14" s="20" t="s">
        <v>527</v>
      </c>
      <c r="J14" s="20" t="s">
        <v>519</v>
      </c>
      <c r="K14" t="s">
        <v>528</v>
      </c>
      <c r="L14" t="s">
        <v>528</v>
      </c>
    </row>
    <row r="15" spans="1:12" ht="15">
      <c r="A15" s="20" t="s">
        <v>134</v>
      </c>
      <c r="B15" s="20" t="s">
        <v>133</v>
      </c>
      <c r="C15" s="20" t="s">
        <v>54</v>
      </c>
      <c r="D15" s="20" t="s">
        <v>54</v>
      </c>
      <c r="E15" s="20" t="s">
        <v>70</v>
      </c>
      <c r="F15" s="20" t="s">
        <v>72</v>
      </c>
      <c r="G15" s="20" t="s">
        <v>529</v>
      </c>
      <c r="H15" s="20" t="s">
        <v>530</v>
      </c>
      <c r="I15" s="3"/>
      <c r="J15" s="3"/>
      <c r="K15" t="s">
        <v>500</v>
      </c>
      <c r="L15" t="s">
        <v>501</v>
      </c>
    </row>
    <row r="16" spans="1:12" ht="15">
      <c r="A16" s="20" t="s">
        <v>531</v>
      </c>
      <c r="B16" s="20" t="s">
        <v>532</v>
      </c>
      <c r="C16" s="20" t="s">
        <v>57</v>
      </c>
      <c r="D16" s="20" t="s">
        <v>58</v>
      </c>
      <c r="E16" s="20" t="s">
        <v>76</v>
      </c>
      <c r="F16" s="20" t="s">
        <v>77</v>
      </c>
      <c r="G16" s="20" t="s">
        <v>533</v>
      </c>
      <c r="H16" s="20" t="s">
        <v>534</v>
      </c>
      <c r="I16" s="3"/>
      <c r="J16" s="3"/>
      <c r="K16" t="s">
        <v>509</v>
      </c>
      <c r="L16" t="s">
        <v>510</v>
      </c>
    </row>
    <row r="17" spans="1:12" ht="15">
      <c r="A17" s="20" t="s">
        <v>535</v>
      </c>
      <c r="B17" s="20" t="s">
        <v>536</v>
      </c>
      <c r="C17" s="20" t="s">
        <v>537</v>
      </c>
      <c r="D17" s="20" t="s">
        <v>538</v>
      </c>
      <c r="E17" s="20" t="s">
        <v>539</v>
      </c>
      <c r="F17" s="20" t="s">
        <v>540</v>
      </c>
      <c r="G17" s="20" t="s">
        <v>541</v>
      </c>
      <c r="H17" s="20" t="s">
        <v>542</v>
      </c>
      <c r="I17" s="3"/>
      <c r="J17" s="3"/>
      <c r="K17" t="s">
        <v>518</v>
      </c>
      <c r="L17" t="s">
        <v>519</v>
      </c>
    </row>
    <row r="18" spans="1:12" ht="15">
      <c r="A18" s="20" t="s">
        <v>113</v>
      </c>
      <c r="B18" s="20" t="s">
        <v>112</v>
      </c>
      <c r="C18" s="20" t="s">
        <v>61</v>
      </c>
      <c r="D18" s="20" t="s">
        <v>61</v>
      </c>
      <c r="E18" s="20" t="s">
        <v>543</v>
      </c>
      <c r="F18" s="20" t="s">
        <v>544</v>
      </c>
      <c r="G18" s="20" t="s">
        <v>545</v>
      </c>
      <c r="H18" s="20" t="s">
        <v>546</v>
      </c>
      <c r="I18" s="3"/>
      <c r="J18" s="3"/>
      <c r="K18" t="s">
        <v>547</v>
      </c>
      <c r="L18" t="s">
        <v>548</v>
      </c>
    </row>
    <row r="19" spans="1:12" ht="15">
      <c r="A19" s="20" t="s">
        <v>121</v>
      </c>
      <c r="B19" s="20" t="s">
        <v>120</v>
      </c>
      <c r="C19" s="20" t="s">
        <v>549</v>
      </c>
      <c r="D19" s="20" t="s">
        <v>549</v>
      </c>
      <c r="E19" s="20" t="s">
        <v>550</v>
      </c>
      <c r="F19" s="20" t="s">
        <v>551</v>
      </c>
      <c r="G19" s="20" t="s">
        <v>552</v>
      </c>
      <c r="H19" s="20" t="s">
        <v>553</v>
      </c>
      <c r="I19" s="3"/>
      <c r="J19" s="3"/>
      <c r="K19" t="s">
        <v>64</v>
      </c>
      <c r="L19" t="s">
        <v>34</v>
      </c>
    </row>
    <row r="20" spans="1:12" ht="15">
      <c r="A20" s="20" t="s">
        <v>554</v>
      </c>
      <c r="B20" s="20" t="s">
        <v>555</v>
      </c>
      <c r="C20" s="20" t="s">
        <v>556</v>
      </c>
      <c r="D20" s="20" t="s">
        <v>556</v>
      </c>
      <c r="E20" s="20" t="s">
        <v>557</v>
      </c>
      <c r="F20" s="20" t="s">
        <v>558</v>
      </c>
      <c r="G20" s="20" t="s">
        <v>559</v>
      </c>
      <c r="H20" s="20" t="s">
        <v>560</v>
      </c>
      <c r="I20" s="3"/>
      <c r="J20" s="3"/>
      <c r="K20" t="s">
        <v>561</v>
      </c>
      <c r="L20" t="s">
        <v>519</v>
      </c>
    </row>
    <row r="21" spans="1:12" ht="15">
      <c r="A21" s="20" t="s">
        <v>562</v>
      </c>
      <c r="B21" s="20" t="s">
        <v>563</v>
      </c>
      <c r="C21" s="20" t="s">
        <v>564</v>
      </c>
      <c r="D21" s="20" t="s">
        <v>564</v>
      </c>
      <c r="E21" s="20" t="s">
        <v>565</v>
      </c>
      <c r="F21" s="20" t="s">
        <v>566</v>
      </c>
      <c r="G21" s="20" t="s">
        <v>567</v>
      </c>
      <c r="H21" s="20" t="s">
        <v>568</v>
      </c>
      <c r="I21" s="3"/>
      <c r="J21" s="3"/>
      <c r="K21" t="s">
        <v>569</v>
      </c>
      <c r="L21" t="s">
        <v>519</v>
      </c>
    </row>
    <row r="22" spans="1:12" ht="15">
      <c r="A22" s="20" t="s">
        <v>92</v>
      </c>
      <c r="B22" s="20" t="s">
        <v>570</v>
      </c>
      <c r="C22" s="20" t="s">
        <v>571</v>
      </c>
      <c r="D22" s="20" t="s">
        <v>571</v>
      </c>
      <c r="E22" s="20" t="s">
        <v>572</v>
      </c>
      <c r="F22" s="20" t="s">
        <v>573</v>
      </c>
      <c r="G22" s="20" t="s">
        <v>574</v>
      </c>
      <c r="H22" s="20" t="s">
        <v>575</v>
      </c>
      <c r="I22" s="3"/>
      <c r="J22" s="3"/>
      <c r="K22" t="s">
        <v>576</v>
      </c>
      <c r="L22" t="s">
        <v>519</v>
      </c>
    </row>
    <row r="23" spans="1:12" ht="15">
      <c r="A23" s="20" t="s">
        <v>577</v>
      </c>
      <c r="B23" s="20" t="s">
        <v>578</v>
      </c>
      <c r="C23" s="20" t="s">
        <v>579</v>
      </c>
      <c r="D23" s="20" t="s">
        <v>580</v>
      </c>
      <c r="E23" s="20" t="s">
        <v>581</v>
      </c>
      <c r="F23" s="20" t="s">
        <v>581</v>
      </c>
      <c r="G23" s="20" t="s">
        <v>582</v>
      </c>
      <c r="H23" s="20" t="s">
        <v>583</v>
      </c>
      <c r="I23" s="3"/>
      <c r="J23" s="3"/>
      <c r="K23" t="s">
        <v>527</v>
      </c>
      <c r="L23" t="s">
        <v>519</v>
      </c>
    </row>
    <row r="24" spans="1:12" ht="15">
      <c r="A24" s="20" t="s">
        <v>584</v>
      </c>
      <c r="B24" s="20" t="s">
        <v>585</v>
      </c>
      <c r="C24" s="20" t="s">
        <v>586</v>
      </c>
      <c r="D24" s="20" t="s">
        <v>446</v>
      </c>
      <c r="E24" s="20" t="s">
        <v>587</v>
      </c>
      <c r="F24" s="20" t="s">
        <v>588</v>
      </c>
      <c r="G24" s="20" t="s">
        <v>589</v>
      </c>
      <c r="H24" s="20" t="s">
        <v>590</v>
      </c>
      <c r="I24" s="3"/>
      <c r="J24" s="3"/>
      <c r="K24" s="3"/>
      <c r="L24" s="3"/>
    </row>
    <row r="25" spans="1:12" ht="15">
      <c r="A25" s="20" t="s">
        <v>342</v>
      </c>
      <c r="B25" s="20" t="s">
        <v>591</v>
      </c>
      <c r="C25" s="20" t="s">
        <v>592</v>
      </c>
      <c r="D25" s="20" t="s">
        <v>593</v>
      </c>
      <c r="E25" s="20" t="s">
        <v>594</v>
      </c>
      <c r="F25" s="20" t="s">
        <v>595</v>
      </c>
      <c r="G25" s="20" t="s">
        <v>596</v>
      </c>
      <c r="H25" s="20" t="s">
        <v>597</v>
      </c>
      <c r="I25" s="3"/>
      <c r="J25" s="3"/>
      <c r="K25" s="3"/>
      <c r="L25" s="3"/>
    </row>
    <row r="26" spans="1:12" ht="15">
      <c r="A26" s="20" t="s">
        <v>598</v>
      </c>
      <c r="B26" s="20" t="s">
        <v>599</v>
      </c>
      <c r="C26" s="20" t="s">
        <v>28</v>
      </c>
      <c r="D26" s="20" t="s">
        <v>28</v>
      </c>
      <c r="E26" s="20" t="s">
        <v>600</v>
      </c>
      <c r="F26" s="20" t="s">
        <v>601</v>
      </c>
      <c r="G26" s="20" t="s">
        <v>602</v>
      </c>
      <c r="H26" s="20" t="s">
        <v>603</v>
      </c>
      <c r="I26" s="3"/>
      <c r="J26" s="3"/>
      <c r="K26" s="3"/>
      <c r="L26" s="3"/>
    </row>
    <row r="27" spans="1:12" ht="15">
      <c r="A27" s="20" t="s">
        <v>604</v>
      </c>
      <c r="B27" s="20" t="s">
        <v>605</v>
      </c>
      <c r="C27" s="20" t="s">
        <v>606</v>
      </c>
      <c r="D27" s="20" t="s">
        <v>607</v>
      </c>
      <c r="E27" s="20" t="s">
        <v>608</v>
      </c>
      <c r="F27" s="20" t="s">
        <v>609</v>
      </c>
      <c r="G27" s="20" t="s">
        <v>610</v>
      </c>
      <c r="H27" s="20" t="s">
        <v>611</v>
      </c>
      <c r="I27" s="3"/>
      <c r="J27" s="3"/>
      <c r="K27" s="3"/>
      <c r="L27" s="3"/>
    </row>
    <row r="28" spans="1:12" ht="15">
      <c r="A28" s="20" t="s">
        <v>612</v>
      </c>
      <c r="B28" s="20" t="s">
        <v>613</v>
      </c>
      <c r="C28" s="20" t="s">
        <v>606</v>
      </c>
      <c r="D28" s="20" t="s">
        <v>614</v>
      </c>
      <c r="E28" s="20" t="s">
        <v>615</v>
      </c>
      <c r="F28" s="20" t="s">
        <v>615</v>
      </c>
      <c r="G28" s="20" t="s">
        <v>616</v>
      </c>
      <c r="H28" s="20" t="s">
        <v>617</v>
      </c>
      <c r="I28" s="3"/>
      <c r="J28" s="3"/>
      <c r="K28" s="3"/>
      <c r="L28" s="3"/>
    </row>
    <row r="29" spans="1:12" ht="15">
      <c r="A29" s="20" t="s">
        <v>618</v>
      </c>
      <c r="B29" s="20" t="s">
        <v>619</v>
      </c>
      <c r="C29" s="20" t="s">
        <v>42</v>
      </c>
      <c r="D29" s="20" t="s">
        <v>620</v>
      </c>
      <c r="E29" s="20" t="s">
        <v>621</v>
      </c>
      <c r="F29" s="20" t="s">
        <v>622</v>
      </c>
      <c r="G29" s="20" t="s">
        <v>623</v>
      </c>
      <c r="H29" s="20" t="s">
        <v>624</v>
      </c>
      <c r="I29" s="3"/>
      <c r="J29" s="3"/>
      <c r="K29" s="3"/>
      <c r="L29" s="3"/>
    </row>
    <row r="30" spans="1:12" ht="15">
      <c r="A30" s="20" t="s">
        <v>592</v>
      </c>
      <c r="B30" s="20" t="s">
        <v>593</v>
      </c>
      <c r="C30" s="20" t="s">
        <v>500</v>
      </c>
      <c r="D30" s="20" t="s">
        <v>501</v>
      </c>
      <c r="E30" s="20" t="s">
        <v>625</v>
      </c>
      <c r="F30" s="20" t="s">
        <v>626</v>
      </c>
      <c r="G30" s="20" t="s">
        <v>627</v>
      </c>
      <c r="H30" s="20" t="s">
        <v>628</v>
      </c>
      <c r="I30" s="3"/>
      <c r="J30" s="3"/>
      <c r="K30" s="3"/>
      <c r="L30" s="3"/>
    </row>
    <row r="31" spans="1:12" ht="15">
      <c r="A31" s="20" t="s">
        <v>629</v>
      </c>
      <c r="B31" s="20" t="s">
        <v>446</v>
      </c>
      <c r="C31" s="20" t="s">
        <v>509</v>
      </c>
      <c r="D31" s="20" t="s">
        <v>510</v>
      </c>
      <c r="E31" s="20" t="s">
        <v>630</v>
      </c>
      <c r="F31" s="20" t="s">
        <v>631</v>
      </c>
      <c r="G31" s="20" t="s">
        <v>632</v>
      </c>
      <c r="H31" s="20" t="s">
        <v>633</v>
      </c>
      <c r="I31" s="3"/>
      <c r="J31" s="3"/>
      <c r="K31" s="3"/>
      <c r="L31" s="3"/>
    </row>
    <row r="32" spans="1:12" ht="15">
      <c r="A32" s="20" t="s">
        <v>37</v>
      </c>
      <c r="B32" s="20" t="s">
        <v>634</v>
      </c>
      <c r="C32" s="20" t="s">
        <v>518</v>
      </c>
      <c r="D32" s="20" t="s">
        <v>519</v>
      </c>
      <c r="E32" s="20" t="s">
        <v>635</v>
      </c>
      <c r="F32" s="20" t="s">
        <v>636</v>
      </c>
      <c r="G32" s="20" t="s">
        <v>637</v>
      </c>
      <c r="H32" s="20" t="s">
        <v>638</v>
      </c>
      <c r="I32" s="3"/>
      <c r="J32" s="3"/>
      <c r="K32" s="3"/>
      <c r="L32" s="3"/>
    </row>
    <row r="33" spans="1:12" ht="15">
      <c r="A33" s="20" t="s">
        <v>639</v>
      </c>
      <c r="B33" s="20" t="s">
        <v>640</v>
      </c>
      <c r="C33" s="20" t="s">
        <v>235</v>
      </c>
      <c r="D33" s="20" t="s">
        <v>641</v>
      </c>
      <c r="E33" s="20" t="s">
        <v>642</v>
      </c>
      <c r="F33" s="20" t="s">
        <v>643</v>
      </c>
      <c r="G33" s="20" t="s">
        <v>644</v>
      </c>
      <c r="H33" s="20" t="s">
        <v>645</v>
      </c>
      <c r="I33" s="3"/>
      <c r="J33" s="3"/>
      <c r="K33" s="3"/>
      <c r="L33" s="3"/>
    </row>
    <row r="34" spans="1:12" ht="15">
      <c r="A34" s="20" t="s">
        <v>646</v>
      </c>
      <c r="B34" s="20" t="s">
        <v>647</v>
      </c>
      <c r="C34" s="20" t="s">
        <v>648</v>
      </c>
      <c r="D34" s="20" t="s">
        <v>649</v>
      </c>
      <c r="E34" s="20" t="s">
        <v>650</v>
      </c>
      <c r="F34" s="20" t="s">
        <v>651</v>
      </c>
      <c r="G34" s="20" t="s">
        <v>652</v>
      </c>
      <c r="H34" s="20" t="s">
        <v>653</v>
      </c>
      <c r="I34" s="3"/>
      <c r="J34" s="3"/>
      <c r="K34" s="3"/>
      <c r="L34" s="3"/>
    </row>
    <row r="35" spans="1:12" ht="15">
      <c r="A35" s="20" t="s">
        <v>654</v>
      </c>
      <c r="B35" s="20" t="s">
        <v>655</v>
      </c>
      <c r="C35" s="20" t="s">
        <v>576</v>
      </c>
      <c r="D35" s="20" t="s">
        <v>519</v>
      </c>
      <c r="E35" s="20" t="s">
        <v>656</v>
      </c>
      <c r="F35" s="20" t="s">
        <v>656</v>
      </c>
      <c r="G35" s="20" t="s">
        <v>657</v>
      </c>
      <c r="H35" s="20" t="s">
        <v>658</v>
      </c>
      <c r="I35" s="3"/>
      <c r="J35" s="3"/>
      <c r="K35" s="3"/>
      <c r="L35" s="3"/>
    </row>
    <row r="36" spans="1:12">
      <c r="A36" s="20" t="s">
        <v>659</v>
      </c>
      <c r="B36" s="20" t="s">
        <v>660</v>
      </c>
      <c r="C36" s="20" t="s">
        <v>527</v>
      </c>
      <c r="D36" s="20" t="s">
        <v>519</v>
      </c>
      <c r="E36" s="20" t="s">
        <v>661</v>
      </c>
      <c r="F36" s="20" t="s">
        <v>661</v>
      </c>
      <c r="G36" s="20" t="s">
        <v>662</v>
      </c>
      <c r="H36" s="20" t="s">
        <v>663</v>
      </c>
    </row>
    <row r="37" spans="1:12">
      <c r="A37" s="20" t="s">
        <v>664</v>
      </c>
      <c r="B37" s="20" t="s">
        <v>665</v>
      </c>
      <c r="E37" s="20" t="s">
        <v>666</v>
      </c>
      <c r="F37" s="20" t="s">
        <v>666</v>
      </c>
      <c r="G37" s="20" t="s">
        <v>667</v>
      </c>
      <c r="H37" s="20" t="s">
        <v>668</v>
      </c>
    </row>
    <row r="38" spans="1:12">
      <c r="A38" s="20" t="s">
        <v>669</v>
      </c>
      <c r="B38" s="20" t="s">
        <v>670</v>
      </c>
      <c r="E38" s="20" t="s">
        <v>671</v>
      </c>
      <c r="F38" s="20" t="s">
        <v>672</v>
      </c>
      <c r="G38" s="20" t="s">
        <v>673</v>
      </c>
      <c r="H38" s="20" t="s">
        <v>674</v>
      </c>
    </row>
    <row r="39" spans="1:12">
      <c r="A39" s="20" t="s">
        <v>675</v>
      </c>
      <c r="B39" s="20" t="s">
        <v>676</v>
      </c>
      <c r="E39" s="20" t="s">
        <v>677</v>
      </c>
      <c r="F39" s="20" t="s">
        <v>677</v>
      </c>
      <c r="G39" s="20" t="s">
        <v>678</v>
      </c>
      <c r="H39" s="20" t="s">
        <v>679</v>
      </c>
    </row>
    <row r="40" spans="1:12">
      <c r="A40" s="20" t="s">
        <v>680</v>
      </c>
      <c r="B40" s="20" t="s">
        <v>681</v>
      </c>
      <c r="E40" s="20" t="s">
        <v>682</v>
      </c>
      <c r="F40" s="20" t="s">
        <v>683</v>
      </c>
      <c r="G40" s="20" t="s">
        <v>684</v>
      </c>
      <c r="H40" s="20" t="s">
        <v>685</v>
      </c>
    </row>
    <row r="41" spans="1:12">
      <c r="A41" s="20" t="s">
        <v>686</v>
      </c>
      <c r="B41" s="20" t="s">
        <v>687</v>
      </c>
      <c r="E41" s="20" t="s">
        <v>688</v>
      </c>
      <c r="F41" s="20" t="s">
        <v>689</v>
      </c>
      <c r="G41" s="20" t="s">
        <v>690</v>
      </c>
      <c r="H41" s="20" t="s">
        <v>691</v>
      </c>
    </row>
    <row r="42" spans="1:12">
      <c r="A42" s="20" t="s">
        <v>500</v>
      </c>
      <c r="B42" s="20" t="s">
        <v>501</v>
      </c>
      <c r="E42" s="20" t="s">
        <v>652</v>
      </c>
      <c r="F42" s="20" t="s">
        <v>653</v>
      </c>
      <c r="G42" s="20" t="s">
        <v>692</v>
      </c>
      <c r="H42" s="20" t="s">
        <v>693</v>
      </c>
    </row>
    <row r="43" spans="1:12">
      <c r="A43" s="20" t="s">
        <v>509</v>
      </c>
      <c r="B43" s="20" t="s">
        <v>510</v>
      </c>
      <c r="E43" s="20" t="s">
        <v>657</v>
      </c>
      <c r="F43" s="20" t="s">
        <v>658</v>
      </c>
      <c r="G43" s="20" t="s">
        <v>694</v>
      </c>
      <c r="H43" s="20" t="s">
        <v>695</v>
      </c>
    </row>
    <row r="44" spans="1:12">
      <c r="A44" s="20" t="s">
        <v>518</v>
      </c>
      <c r="B44" s="20" t="s">
        <v>519</v>
      </c>
      <c r="E44" s="20" t="s">
        <v>662</v>
      </c>
      <c r="F44" s="20" t="s">
        <v>696</v>
      </c>
      <c r="G44" s="20" t="s">
        <v>697</v>
      </c>
      <c r="H44" s="20" t="s">
        <v>697</v>
      </c>
    </row>
    <row r="45" spans="1:12">
      <c r="A45" s="20" t="s">
        <v>33</v>
      </c>
      <c r="B45" s="20" t="s">
        <v>34</v>
      </c>
      <c r="E45" s="20" t="s">
        <v>698</v>
      </c>
      <c r="F45" s="20" t="s">
        <v>699</v>
      </c>
      <c r="G45" s="20" t="s">
        <v>528</v>
      </c>
      <c r="H45" s="20" t="s">
        <v>528</v>
      </c>
    </row>
    <row r="46" spans="1:12">
      <c r="A46" s="20" t="s">
        <v>700</v>
      </c>
      <c r="B46" s="20" t="s">
        <v>701</v>
      </c>
      <c r="E46" s="20" t="s">
        <v>702</v>
      </c>
      <c r="F46" s="20" t="s">
        <v>703</v>
      </c>
      <c r="G46" s="20" t="s">
        <v>500</v>
      </c>
      <c r="H46" s="20" t="s">
        <v>501</v>
      </c>
    </row>
    <row r="47" spans="1:12">
      <c r="A47" s="20" t="s">
        <v>37</v>
      </c>
      <c r="B47" s="20" t="s">
        <v>38</v>
      </c>
      <c r="E47" s="20" t="s">
        <v>704</v>
      </c>
      <c r="F47" s="20" t="s">
        <v>705</v>
      </c>
      <c r="G47" s="20" t="s">
        <v>509</v>
      </c>
      <c r="H47" s="20" t="s">
        <v>510</v>
      </c>
    </row>
    <row r="48" spans="1:12">
      <c r="A48" s="20" t="s">
        <v>706</v>
      </c>
      <c r="B48" s="20" t="s">
        <v>649</v>
      </c>
      <c r="E48" s="20" t="s">
        <v>707</v>
      </c>
      <c r="F48" s="20" t="s">
        <v>708</v>
      </c>
      <c r="G48" s="20" t="s">
        <v>518</v>
      </c>
      <c r="H48" s="20" t="s">
        <v>519</v>
      </c>
    </row>
    <row r="49" spans="1:8">
      <c r="A49" s="20" t="s">
        <v>235</v>
      </c>
      <c r="B49" s="20" t="s">
        <v>641</v>
      </c>
      <c r="E49" s="20" t="s">
        <v>709</v>
      </c>
      <c r="F49" s="20" t="s">
        <v>710</v>
      </c>
      <c r="G49" s="20" t="s">
        <v>64</v>
      </c>
      <c r="H49" s="20" t="s">
        <v>34</v>
      </c>
    </row>
    <row r="50" spans="1:8">
      <c r="A50" s="20" t="s">
        <v>711</v>
      </c>
      <c r="B50" s="20" t="s">
        <v>712</v>
      </c>
      <c r="E50" s="20" t="s">
        <v>713</v>
      </c>
      <c r="F50" s="20" t="s">
        <v>714</v>
      </c>
      <c r="G50" s="20" t="s">
        <v>527</v>
      </c>
      <c r="H50" s="20" t="s">
        <v>519</v>
      </c>
    </row>
    <row r="51" spans="1:8">
      <c r="A51" s="20" t="s">
        <v>715</v>
      </c>
      <c r="B51" s="20" t="s">
        <v>716</v>
      </c>
      <c r="E51" s="20" t="s">
        <v>717</v>
      </c>
      <c r="F51" s="20" t="s">
        <v>718</v>
      </c>
    </row>
    <row r="52" spans="1:8">
      <c r="A52" s="20" t="s">
        <v>719</v>
      </c>
      <c r="B52" s="20" t="s">
        <v>720</v>
      </c>
      <c r="E52" s="20" t="s">
        <v>529</v>
      </c>
      <c r="F52" s="20" t="s">
        <v>721</v>
      </c>
    </row>
    <row r="53" spans="1:8">
      <c r="A53" s="20" t="s">
        <v>722</v>
      </c>
      <c r="B53" s="20" t="s">
        <v>519</v>
      </c>
      <c r="E53" s="20" t="s">
        <v>456</v>
      </c>
      <c r="F53" s="20" t="s">
        <v>457</v>
      </c>
    </row>
    <row r="54" spans="1:8">
      <c r="A54" s="20" t="s">
        <v>576</v>
      </c>
      <c r="B54" s="20" t="s">
        <v>519</v>
      </c>
      <c r="E54" s="20" t="s">
        <v>467</v>
      </c>
      <c r="F54" s="20" t="s">
        <v>468</v>
      </c>
    </row>
    <row r="55" spans="1:8">
      <c r="A55" s="20" t="s">
        <v>723</v>
      </c>
      <c r="B55" s="20" t="s">
        <v>519</v>
      </c>
      <c r="E55" s="20" t="s">
        <v>78</v>
      </c>
      <c r="F55" s="20" t="s">
        <v>724</v>
      </c>
    </row>
    <row r="56" spans="1:8">
      <c r="A56" s="20" t="s">
        <v>725</v>
      </c>
      <c r="B56" s="20" t="s">
        <v>519</v>
      </c>
      <c r="E56" s="20" t="s">
        <v>541</v>
      </c>
      <c r="F56" s="20" t="s">
        <v>726</v>
      </c>
    </row>
    <row r="57" spans="1:8">
      <c r="A57" s="20" t="s">
        <v>727</v>
      </c>
      <c r="B57" s="20" t="s">
        <v>519</v>
      </c>
      <c r="E57" s="20" t="s">
        <v>728</v>
      </c>
      <c r="F57" s="20" t="s">
        <v>729</v>
      </c>
    </row>
    <row r="58" spans="1:8">
      <c r="A58" s="20" t="s">
        <v>730</v>
      </c>
      <c r="B58" s="20" t="s">
        <v>519</v>
      </c>
      <c r="E58" s="20" t="s">
        <v>533</v>
      </c>
      <c r="F58" s="20" t="s">
        <v>731</v>
      </c>
    </row>
    <row r="59" spans="1:8">
      <c r="A59" s="20" t="s">
        <v>732</v>
      </c>
      <c r="B59" s="20" t="s">
        <v>519</v>
      </c>
      <c r="E59" s="20" t="s">
        <v>733</v>
      </c>
      <c r="F59" s="20" t="s">
        <v>734</v>
      </c>
    </row>
    <row r="60" spans="1:8">
      <c r="A60" s="20" t="s">
        <v>735</v>
      </c>
      <c r="B60" s="20" t="s">
        <v>519</v>
      </c>
      <c r="E60" s="20" t="s">
        <v>559</v>
      </c>
      <c r="F60" s="20" t="s">
        <v>736</v>
      </c>
    </row>
    <row r="61" spans="1:8">
      <c r="A61" s="20" t="s">
        <v>737</v>
      </c>
      <c r="B61" s="20" t="s">
        <v>519</v>
      </c>
      <c r="E61" s="20" t="s">
        <v>738</v>
      </c>
      <c r="F61" s="20" t="s">
        <v>739</v>
      </c>
    </row>
    <row r="62" spans="1:8">
      <c r="A62" s="20" t="s">
        <v>740</v>
      </c>
      <c r="B62" s="20" t="s">
        <v>519</v>
      </c>
      <c r="E62" s="20" t="s">
        <v>484</v>
      </c>
      <c r="F62" s="20" t="s">
        <v>741</v>
      </c>
    </row>
    <row r="63" spans="1:8">
      <c r="A63" s="20" t="s">
        <v>742</v>
      </c>
      <c r="B63" s="20" t="s">
        <v>519</v>
      </c>
      <c r="E63" s="20" t="s">
        <v>476</v>
      </c>
      <c r="F63" s="20" t="s">
        <v>743</v>
      </c>
    </row>
    <row r="64" spans="1:8">
      <c r="A64" s="20" t="s">
        <v>527</v>
      </c>
      <c r="B64" s="20" t="s">
        <v>519</v>
      </c>
      <c r="E64" s="20" t="s">
        <v>678</v>
      </c>
      <c r="F64" s="20" t="s">
        <v>744</v>
      </c>
    </row>
    <row r="65" spans="5:6">
      <c r="E65" s="20" t="s">
        <v>684</v>
      </c>
      <c r="F65" s="20" t="s">
        <v>745</v>
      </c>
    </row>
    <row r="66" spans="5:6">
      <c r="E66" s="20" t="s">
        <v>690</v>
      </c>
      <c r="F66" s="20" t="s">
        <v>746</v>
      </c>
    </row>
    <row r="67" spans="5:6">
      <c r="E67" s="20" t="s">
        <v>492</v>
      </c>
      <c r="F67" s="20" t="s">
        <v>747</v>
      </c>
    </row>
    <row r="68" spans="5:6">
      <c r="E68" s="20" t="s">
        <v>498</v>
      </c>
      <c r="F68" s="20" t="s">
        <v>748</v>
      </c>
    </row>
    <row r="69" spans="5:6">
      <c r="E69" s="20" t="s">
        <v>516</v>
      </c>
      <c r="F69" s="20" t="s">
        <v>749</v>
      </c>
    </row>
    <row r="70" spans="5:6">
      <c r="E70" s="20" t="s">
        <v>521</v>
      </c>
      <c r="F70" s="20" t="s">
        <v>750</v>
      </c>
    </row>
    <row r="71" spans="5:6">
      <c r="E71" s="20" t="s">
        <v>751</v>
      </c>
      <c r="F71" s="20" t="s">
        <v>525</v>
      </c>
    </row>
    <row r="72" spans="5:6">
      <c r="E72" s="20" t="s">
        <v>752</v>
      </c>
      <c r="F72" s="20" t="s">
        <v>752</v>
      </c>
    </row>
    <row r="73" spans="5:6">
      <c r="E73" s="20" t="s">
        <v>697</v>
      </c>
      <c r="F73" s="20" t="s">
        <v>697</v>
      </c>
    </row>
    <row r="74" spans="5:6">
      <c r="E74" s="20" t="s">
        <v>753</v>
      </c>
      <c r="F74" s="20" t="s">
        <v>754</v>
      </c>
    </row>
    <row r="75" spans="5:6">
      <c r="E75" s="20" t="s">
        <v>755</v>
      </c>
      <c r="F75" s="20" t="s">
        <v>756</v>
      </c>
    </row>
    <row r="76" spans="5:6">
      <c r="E76" s="20" t="s">
        <v>757</v>
      </c>
      <c r="F76" s="20" t="s">
        <v>758</v>
      </c>
    </row>
    <row r="77" spans="5:6">
      <c r="E77" s="20" t="s">
        <v>759</v>
      </c>
      <c r="F77" s="20" t="s">
        <v>760</v>
      </c>
    </row>
    <row r="78" spans="5:6">
      <c r="E78" s="20" t="s">
        <v>761</v>
      </c>
      <c r="F78" s="20" t="s">
        <v>762</v>
      </c>
    </row>
    <row r="79" spans="5:6">
      <c r="E79" s="20" t="s">
        <v>763</v>
      </c>
      <c r="F79" s="20" t="s">
        <v>764</v>
      </c>
    </row>
    <row r="80" spans="5:6">
      <c r="E80" s="20" t="s">
        <v>765</v>
      </c>
      <c r="F80" s="20" t="s">
        <v>766</v>
      </c>
    </row>
    <row r="81" spans="5:6">
      <c r="E81" s="20" t="s">
        <v>760</v>
      </c>
      <c r="F81" s="20" t="s">
        <v>767</v>
      </c>
    </row>
    <row r="82" spans="5:6">
      <c r="E82" s="20" t="s">
        <v>768</v>
      </c>
      <c r="F82" s="20" t="s">
        <v>769</v>
      </c>
    </row>
    <row r="83" spans="5:6">
      <c r="E83" s="20" t="s">
        <v>770</v>
      </c>
      <c r="F83" s="20" t="s">
        <v>771</v>
      </c>
    </row>
    <row r="84" spans="5:6">
      <c r="E84" s="20" t="s">
        <v>772</v>
      </c>
      <c r="F84" s="20" t="s">
        <v>773</v>
      </c>
    </row>
    <row r="85" spans="5:6">
      <c r="E85" s="20" t="s">
        <v>774</v>
      </c>
      <c r="F85" s="20" t="s">
        <v>775</v>
      </c>
    </row>
    <row r="86" spans="5:6">
      <c r="E86" s="20" t="s">
        <v>776</v>
      </c>
      <c r="F86" s="20" t="s">
        <v>777</v>
      </c>
    </row>
    <row r="87" spans="5:6">
      <c r="E87" s="20" t="s">
        <v>778</v>
      </c>
      <c r="F87" s="20" t="s">
        <v>779</v>
      </c>
    </row>
    <row r="88" spans="5:6">
      <c r="E88" s="20" t="s">
        <v>780</v>
      </c>
      <c r="F88" s="20" t="s">
        <v>781</v>
      </c>
    </row>
    <row r="89" spans="5:6">
      <c r="E89" s="20" t="s">
        <v>782</v>
      </c>
      <c r="F89" s="20" t="s">
        <v>783</v>
      </c>
    </row>
    <row r="90" spans="5:6">
      <c r="E90" s="20" t="s">
        <v>784</v>
      </c>
      <c r="F90" s="20" t="s">
        <v>785</v>
      </c>
    </row>
    <row r="91" spans="5:6">
      <c r="E91" s="20" t="s">
        <v>786</v>
      </c>
      <c r="F91" s="20" t="s">
        <v>787</v>
      </c>
    </row>
    <row r="92" spans="5:6">
      <c r="E92" s="20" t="s">
        <v>788</v>
      </c>
      <c r="F92" s="20" t="s">
        <v>789</v>
      </c>
    </row>
    <row r="93" spans="5:6">
      <c r="E93" s="20" t="s">
        <v>790</v>
      </c>
      <c r="F93" s="20" t="s">
        <v>791</v>
      </c>
    </row>
    <row r="94" spans="5:6">
      <c r="E94" s="20" t="s">
        <v>792</v>
      </c>
      <c r="F94" s="20" t="s">
        <v>793</v>
      </c>
    </row>
    <row r="95" spans="5:6">
      <c r="E95" s="20" t="s">
        <v>794</v>
      </c>
      <c r="F95" s="20" t="s">
        <v>795</v>
      </c>
    </row>
    <row r="96" spans="5:6">
      <c r="E96" s="20" t="s">
        <v>796</v>
      </c>
      <c r="F96" s="20" t="s">
        <v>797</v>
      </c>
    </row>
    <row r="97" spans="5:6">
      <c r="E97" s="20" t="s">
        <v>798</v>
      </c>
      <c r="F97" s="20" t="s">
        <v>799</v>
      </c>
    </row>
    <row r="98" spans="5:6">
      <c r="E98" s="20" t="s">
        <v>800</v>
      </c>
      <c r="F98" s="20" t="s">
        <v>801</v>
      </c>
    </row>
    <row r="99" spans="5:6">
      <c r="E99" s="20" t="s">
        <v>802</v>
      </c>
      <c r="F99" s="20" t="s">
        <v>803</v>
      </c>
    </row>
    <row r="100" spans="5:6">
      <c r="E100" s="20" t="s">
        <v>804</v>
      </c>
      <c r="F100" s="20" t="s">
        <v>805</v>
      </c>
    </row>
    <row r="101" spans="5:6">
      <c r="E101" s="20" t="s">
        <v>806</v>
      </c>
      <c r="F101" s="20" t="s">
        <v>807</v>
      </c>
    </row>
    <row r="102" spans="5:6">
      <c r="E102" s="20" t="s">
        <v>808</v>
      </c>
      <c r="F102" s="20" t="s">
        <v>809</v>
      </c>
    </row>
    <row r="103" spans="5:6">
      <c r="E103" s="20" t="s">
        <v>810</v>
      </c>
      <c r="F103" s="20" t="s">
        <v>811</v>
      </c>
    </row>
    <row r="104" spans="5:6">
      <c r="E104" s="20" t="s">
        <v>812</v>
      </c>
      <c r="F104" s="20" t="s">
        <v>813</v>
      </c>
    </row>
    <row r="105" spans="5:6">
      <c r="E105" s="20" t="s">
        <v>814</v>
      </c>
      <c r="F105" s="20" t="s">
        <v>815</v>
      </c>
    </row>
    <row r="106" spans="5:6">
      <c r="E106" s="20" t="s">
        <v>816</v>
      </c>
      <c r="F106" s="20" t="s">
        <v>817</v>
      </c>
    </row>
    <row r="107" spans="5:6">
      <c r="E107" s="20" t="s">
        <v>818</v>
      </c>
      <c r="F107" s="20" t="s">
        <v>819</v>
      </c>
    </row>
    <row r="108" spans="5:6">
      <c r="E108" s="20" t="s">
        <v>820</v>
      </c>
      <c r="F108" s="20" t="s">
        <v>821</v>
      </c>
    </row>
    <row r="109" spans="5:6">
      <c r="E109" s="20" t="s">
        <v>822</v>
      </c>
      <c r="F109" s="20" t="s">
        <v>823</v>
      </c>
    </row>
    <row r="110" spans="5:6">
      <c r="E110" s="20" t="s">
        <v>346</v>
      </c>
      <c r="F110" s="20" t="s">
        <v>824</v>
      </c>
    </row>
    <row r="111" spans="5:6">
      <c r="E111" s="20" t="s">
        <v>825</v>
      </c>
      <c r="F111" s="20" t="s">
        <v>826</v>
      </c>
    </row>
    <row r="112" spans="5:6">
      <c r="E112" s="20" t="s">
        <v>827</v>
      </c>
      <c r="F112" s="20" t="s">
        <v>828</v>
      </c>
    </row>
    <row r="113" spans="5:6">
      <c r="E113" s="20" t="s">
        <v>829</v>
      </c>
      <c r="F113" s="20" t="s">
        <v>830</v>
      </c>
    </row>
    <row r="114" spans="5:6">
      <c r="E114" s="20" t="s">
        <v>831</v>
      </c>
      <c r="F114" s="20" t="s">
        <v>832</v>
      </c>
    </row>
    <row r="115" spans="5:6">
      <c r="E115" s="20" t="s">
        <v>606</v>
      </c>
      <c r="F115" s="20" t="s">
        <v>607</v>
      </c>
    </row>
    <row r="116" spans="5:6">
      <c r="E116" s="20" t="s">
        <v>606</v>
      </c>
      <c r="F116" s="20" t="s">
        <v>614</v>
      </c>
    </row>
    <row r="117" spans="5:6">
      <c r="E117" s="20" t="s">
        <v>500</v>
      </c>
      <c r="F117" s="20" t="s">
        <v>501</v>
      </c>
    </row>
    <row r="118" spans="5:6">
      <c r="E118" s="20" t="s">
        <v>509</v>
      </c>
      <c r="F118" s="20" t="s">
        <v>510</v>
      </c>
    </row>
    <row r="119" spans="5:6">
      <c r="E119" s="20" t="s">
        <v>518</v>
      </c>
      <c r="F119" s="20" t="s">
        <v>519</v>
      </c>
    </row>
    <row r="120" spans="5:6">
      <c r="E120" s="20" t="s">
        <v>235</v>
      </c>
      <c r="F120" s="20" t="s">
        <v>641</v>
      </c>
    </row>
    <row r="121" spans="5:6">
      <c r="E121" s="20" t="s">
        <v>833</v>
      </c>
      <c r="F121" s="20" t="s">
        <v>834</v>
      </c>
    </row>
    <row r="122" spans="5:6">
      <c r="E122" s="20" t="s">
        <v>835</v>
      </c>
      <c r="F122" s="20" t="s">
        <v>836</v>
      </c>
    </row>
    <row r="123" spans="5:6">
      <c r="E123" s="20" t="s">
        <v>732</v>
      </c>
      <c r="F123" s="20" t="s">
        <v>519</v>
      </c>
    </row>
    <row r="124" spans="5:6">
      <c r="E124" s="20" t="s">
        <v>735</v>
      </c>
      <c r="F124" s="20" t="s">
        <v>519</v>
      </c>
    </row>
    <row r="125" spans="5:6">
      <c r="E125" s="20" t="s">
        <v>737</v>
      </c>
      <c r="F125" s="20" t="s">
        <v>519</v>
      </c>
    </row>
    <row r="126" spans="5:6">
      <c r="E126" s="20" t="s">
        <v>740</v>
      </c>
      <c r="F126" s="20" t="s">
        <v>519</v>
      </c>
    </row>
    <row r="127" spans="5:6">
      <c r="E127" s="20" t="s">
        <v>576</v>
      </c>
      <c r="F127" s="20" t="s">
        <v>519</v>
      </c>
    </row>
    <row r="128" spans="5:6">
      <c r="E128" s="20" t="s">
        <v>704</v>
      </c>
      <c r="F128" s="20" t="s">
        <v>519</v>
      </c>
    </row>
    <row r="129" spans="5:6">
      <c r="E129" s="20" t="s">
        <v>837</v>
      </c>
      <c r="F129" s="20" t="s">
        <v>519</v>
      </c>
    </row>
    <row r="130" spans="5:6">
      <c r="E130" s="20" t="s">
        <v>838</v>
      </c>
      <c r="F130" s="20" t="s">
        <v>519</v>
      </c>
    </row>
    <row r="131" spans="5:6">
      <c r="E131" s="20" t="s">
        <v>839</v>
      </c>
      <c r="F131" s="20" t="s">
        <v>519</v>
      </c>
    </row>
    <row r="132" spans="5:6">
      <c r="E132" s="20" t="s">
        <v>840</v>
      </c>
      <c r="F132" s="20" t="s">
        <v>519</v>
      </c>
    </row>
    <row r="133" spans="5:6">
      <c r="E133" s="20" t="s">
        <v>841</v>
      </c>
      <c r="F133" s="20" t="s">
        <v>519</v>
      </c>
    </row>
    <row r="134" spans="5:6">
      <c r="E134" s="20" t="s">
        <v>527</v>
      </c>
      <c r="F134" s="20" t="s">
        <v>519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495C4B7D7A5443BC7306E3FB4FC215" ma:contentTypeVersion="13" ma:contentTypeDescription="Create a new document." ma:contentTypeScope="" ma:versionID="7f2ceaee7a6fb8b43c287866fc501708">
  <xsd:schema xmlns:xsd="http://www.w3.org/2001/XMLSchema" xmlns:xs="http://www.w3.org/2001/XMLSchema" xmlns:p="http://schemas.microsoft.com/office/2006/metadata/properties" xmlns:ns2="748d880e-87f9-4cfd-9f1b-e06a19531e55" xmlns:ns3="345537d8-8793-477d-a885-fbf79720c161" targetNamespace="http://schemas.microsoft.com/office/2006/metadata/properties" ma:root="true" ma:fieldsID="4205562545cfe0a2580fe2540915ba2c" ns2:_="" ns3:_="">
    <xsd:import namespace="748d880e-87f9-4cfd-9f1b-e06a19531e55"/>
    <xsd:import namespace="345537d8-8793-477d-a885-fbf79720c1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8d880e-87f9-4cfd-9f1b-e06a19531e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a0c6de4-7dec-4894-9c39-cb787b44f51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5537d8-8793-477d-a885-fbf79720c16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8b0cc8c-4cc9-410a-84d7-dc7384ebd3d6}" ma:internalName="TaxCatchAll" ma:showField="CatchAllData" ma:web="345537d8-8793-477d-a885-fbf79720c1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8d880e-87f9-4cfd-9f1b-e06a19531e55">
      <Terms xmlns="http://schemas.microsoft.com/office/infopath/2007/PartnerControls"/>
    </lcf76f155ced4ddcb4097134ff3c332f>
    <TaxCatchAll xmlns="345537d8-8793-477d-a885-fbf79720c161"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32BF76-C3A0-4AC1-92E5-15723A3AAA70}"/>
</file>

<file path=customXml/itemProps2.xml><?xml version="1.0" encoding="utf-8"?>
<ds:datastoreItem xmlns:ds="http://schemas.openxmlformats.org/officeDocument/2006/customXml" ds:itemID="{3D9C3C96-DE68-4928-A8CB-D82651C95086}"/>
</file>

<file path=customXml/itemProps3.xml><?xml version="1.0" encoding="utf-8"?>
<ds:datastoreItem xmlns:ds="http://schemas.openxmlformats.org/officeDocument/2006/customXml" ds:itemID="{15D9CC5E-DAF3-42CD-A78D-CCF55D3FA1D6}"/>
</file>

<file path=customXml/itemProps4.xml><?xml version="1.0" encoding="utf-8"?>
<ds:datastoreItem xmlns:ds="http://schemas.openxmlformats.org/officeDocument/2006/customXml" ds:itemID="{ECE201BF-4D36-4D8C-9D0F-F16DD0F1AC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SVRN - Chris Chornohos</dc:creator>
  <cp:keywords/>
  <dc:description/>
  <cp:lastModifiedBy/>
  <cp:revision/>
  <dcterms:created xsi:type="dcterms:W3CDTF">2025-11-13T19:16:55Z</dcterms:created>
  <dcterms:modified xsi:type="dcterms:W3CDTF">2026-04-02T18:12:59Z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0x010100E8495C4B7D7A5443BC7306E3FB4FC215</vt:lpwstr>
  </property>
  <property fmtid="{D5CDD505-2E9C-101B-9397-08002B2CF9AE}" pid="3" name="Order">
    <vt:r8>6800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MigrationSourceID">
    <vt:lpwstr>1Tq22x_Yk14pHwn2dMPkHTralX491cmh0</vt:lpwstr>
  </property>
  <property fmtid="{D5CDD505-2E9C-101B-9397-08002B2CF9AE}" pid="9" name="ComplianceAssetId">
    <vt:lpwstr/>
  </property>
  <property fmtid="{D5CDD505-2E9C-101B-9397-08002B2CF9AE}" pid="10" name="TemplateUrl">
    <vt:lpwstr/>
  </property>
  <property fmtid="{D5CDD505-2E9C-101B-9397-08002B2CF9AE}" pid="11" name="MediaServiceImageTags">
    <vt:lpwstr/>
  </property>
</Properties>
</file>